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ea990facf543de" /></Relationships>
</file>

<file path=xl/workbook.xml><?xml version="1.0" encoding="utf-8"?>
<x:workbook xmlns:x="http://schemas.openxmlformats.org/spreadsheetml/2006/main">
  <x:sheets>
    <x:sheet xmlns:r="http://schemas.openxmlformats.org/officeDocument/2006/relationships" name="Launch Dashboard" sheetId="1" r:id="R963a10116b964449"/>
    <x:sheet xmlns:r="http://schemas.openxmlformats.org/officeDocument/2006/relationships" name="Event Inventory" sheetId="2" r:id="R7d1229c209b1431f"/>
    <x:sheet xmlns:r="http://schemas.openxmlformats.org/officeDocument/2006/relationships" name="Wingman Pipeline" sheetId="3" r:id="R4f42609b83724885"/>
    <x:sheet xmlns:r="http://schemas.openxmlformats.org/officeDocument/2006/relationships" name="Verification Checklist" sheetId="4" r:id="R8edf862854354b88"/>
    <x:sheet xmlns:r="http://schemas.openxmlformats.org/officeDocument/2006/relationships" name="Import Schema" sheetId="5" r:id="R825d5311e9744b5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2">
    <x:font>
      <x:sz val="11"/>
      <x:name val="Carlito"/>
    </x:font>
    <x:font>
      <x:sz val="10"/>
      <x:color rgb="FF0B101A"/>
      <x:name val="Aptos"/>
    </x:font>
    <x:font>
      <x:b/>
      <x:sz val="10"/>
      <x:color rgb="FFF4F0E8"/>
      <x:name val="Aptos Display"/>
    </x:font>
    <x:font>
      <x:sz val="10"/>
      <x:color rgb="FF2F5597"/>
      <x:name val="Aptos"/>
    </x:font>
    <x:font>
      <x:b/>
      <x:sz val="22"/>
      <x:color rgb="FFF4F0E8"/>
      <x:name val="Aptos Display"/>
    </x:font>
    <x:font>
      <x:sz val="11"/>
      <x:color rgb="FF0B101A"/>
      <x:name val="Aptos"/>
    </x:font>
    <x:font>
      <x:b/>
      <x:sz val="11"/>
      <x:color rgb="FF0B101A"/>
      <x:name val="Aptos"/>
    </x:font>
    <x:font>
      <x:b/>
      <x:sz val="13"/>
      <x:color rgb="FF0B101A"/>
      <x:name val="Aptos"/>
    </x:font>
    <x:font>
      <x:b/>
      <x:sz val="11"/>
      <x:color rgb="FFF4F0E8"/>
      <x:name val="Carlito"/>
    </x:font>
    <x:font>
      <x:sz val="12"/>
      <x:color rgb="FF0B101A"/>
      <x:name val="Carlito"/>
    </x:font>
    <x:font>
      <x:b/>
      <x:sz val="11"/>
      <x:color rgb="FF0B101A"/>
      <x:name val="Carlito"/>
    </x:font>
    <x:font>
      <x:sz val="11"/>
      <x:color rgb="FF0B101A"/>
      <x:name val="Carlito"/>
    </x:font>
  </x:fonts>
  <x:fills count="9">
    <x:fill>
      <x:patternFill patternType="none"/>
    </x:fill>
    <x:fill>
      <x:patternFill patternType="gray125"/>
    </x:fill>
    <x:fill>
      <x:patternFill patternType="solid">
        <x:fgColor rgb="FF0B101A"/>
      </x:patternFill>
    </x:fill>
    <x:fill>
      <x:patternFill patternType="solid">
        <x:fgColor rgb="FFD9EAD3"/>
      </x:patternFill>
    </x:fill>
    <x:fill>
      <x:patternFill patternType="solid">
        <x:fgColor rgb="FFFFF2CC"/>
      </x:patternFill>
    </x:fill>
    <x:fill>
      <x:patternFill patternType="solid">
        <x:fgColor rgb="FFC8B38B"/>
      </x:patternFill>
    </x:fill>
    <x:fill>
      <x:patternFill patternType="solid">
        <x:fgColor rgb="FFF8F6F1"/>
      </x:patternFill>
    </x:fill>
    <x:fill>
      <x:patternFill patternType="solid">
        <x:fgColor rgb="FF152238"/>
      </x:patternFill>
    </x:fill>
    <x:fill>
      <x:patternFill patternType="solid">
        <x:fgColor rgb="FFFFFFFF"/>
      </x:patternFill>
    </x:fill>
  </x:fills>
  <x:borders count="7">
    <x:border/>
    <x:border>
      <x:bottom style="thin">
        <x:color rgb="FFE2E5EA"/>
      </x:bottom>
    </x:border>
    <x:border>
      <x:top style="thin">
        <x:color rgb="FFE2E5EA"/>
      </x:top>
      <x:bottom style="thin">
        <x:color rgb="FFE2E5EA"/>
      </x:bottom>
    </x:border>
    <x:border>
      <x:top style="thin">
        <x:color rgb="FFE2E5EA"/>
      </x:top>
    </x:border>
    <x:border>
      <x:bottom style="thin">
        <x:color rgb="FFD6DADF"/>
      </x:bottom>
    </x:border>
    <x:border>
      <x:top style="thin">
        <x:color rgb="FFD6DADF"/>
      </x:top>
      <x:bottom style="thin">
        <x:color rgb="FFD6DADF"/>
      </x:bottom>
    </x:border>
    <x:border>
      <x:top style="thin">
        <x:color rgb="FFD6DADF"/>
      </x:top>
    </x:border>
  </x:borders>
  <x:cellStyleXfs count="1">
    <x:xf numFmtId="0" fontId="0" fillId="0" borderId="0"/>
  </x:cellStyleXfs>
  <x:cellXfs count="6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200" fontId="1"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200" fontId="1" fillId="0" borderId="1" xfId="0" applyNumberFormat="1" applyFont="1" applyFill="1" applyBorder="1" applyAlignment="1">
      <x:alignment vertical="center"/>
    </x:xf>
    <x:xf numFmtId="0" fontId="3" fillId="0" borderId="1" xfId="0" applyNumberFormat="1" applyFont="1" applyFill="1" applyBorder="1" applyAlignment="1">
      <x:alignment vertical="center"/>
    </x:xf>
    <x:xf numFmtId="0" fontId="1" fillId="0" borderId="2" xfId="0" applyNumberFormat="1" applyFont="1" applyFill="1" applyBorder="1" applyAlignment="1">
      <x:alignment vertical="center"/>
    </x:xf>
    <x:xf numFmtId="200" fontId="1" fillId="0" borderId="2" xfId="0" applyNumberFormat="1" applyFont="1" applyFill="1" applyBorder="1" applyAlignment="1">
      <x:alignment vertical="center"/>
    </x:xf>
    <x:xf numFmtId="0" fontId="3" fillId="0" borderId="2" xfId="0" applyNumberFormat="1" applyFont="1" applyFill="1" applyBorder="1" applyAlignment="1">
      <x:alignment vertical="center"/>
    </x:xf>
    <x:xf numFmtId="0" fontId="1" fillId="0" borderId="3" xfId="0" applyNumberFormat="1" applyFont="1" applyFill="1" applyBorder="1" applyAlignment="1">
      <x:alignment vertical="center"/>
    </x:xf>
    <x:xf numFmtId="200" fontId="1" fillId="0" borderId="3" xfId="0" applyNumberFormat="1" applyFont="1" applyFill="1" applyBorder="1" applyAlignment="1">
      <x:alignment vertical="center"/>
    </x:xf>
    <x:xf numFmtId="0" fontId="3" fillId="0" borderId="3" xfId="0" applyNumberFormat="1" applyFont="1" applyFill="1" applyBorder="1" applyAlignment="1">
      <x:alignment vertical="center"/>
    </x:xf>
    <x:xf numFmtId="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0" fontId="1" fillId="4" borderId="1" xfId="0" applyNumberFormat="1" applyFont="1" applyFill="1" applyBorder="1" applyAlignment="1">
      <x:alignment vertical="center"/>
    </x:xf>
    <x:xf numFmtId="0" fontId="1" fillId="4" borderId="2" xfId="0" applyNumberFormat="1" applyFont="1" applyFill="1" applyBorder="1" applyAlignment="1">
      <x:alignment vertical="center"/>
    </x:xf>
    <x:xf numFmtId="0" fontId="1" fillId="4" borderId="3" xfId="0" applyNumberFormat="1" applyFont="1" applyFill="1" applyBorder="1" applyAlignment="1">
      <x:alignment vertical="center"/>
    </x:xf>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0" fontId="5" fillId="0" borderId="0" xfId="0" applyNumberFormat="1" applyFont="1" applyFill="1" applyBorder="1"/>
    <x:xf numFmtId="0" fontId="5" fillId="0" borderId="0" xfId="0" applyNumberFormat="1" applyFont="1" applyFill="1" applyBorder="1" applyAlignment="1">
      <x:alignment vertical="center"/>
    </x:xf>
    <x:xf numFmtId="0" fontId="5" fillId="5" borderId="0" xfId="0" applyNumberFormat="1" applyFont="1" applyFill="1" applyBorder="1" applyAlignment="1">
      <x:alignment vertical="center"/>
    </x:xf>
    <x:xf numFmtId="0" fontId="6" fillId="5" borderId="0" xfId="0" applyNumberFormat="1" applyFont="1" applyFill="1" applyBorder="1" applyAlignment="1">
      <x:alignment vertical="center"/>
    </x:xf>
    <x:xf numFmtId="0" fontId="5" fillId="0" borderId="4" xfId="0" applyNumberFormat="1" applyFont="1" applyFill="1" applyBorder="1" applyAlignment="1">
      <x:alignment vertical="center"/>
    </x:xf>
    <x:xf numFmtId="0" fontId="5" fillId="0" borderId="5" xfId="0" applyNumberFormat="1" applyFont="1" applyFill="1" applyBorder="1" applyAlignment="1">
      <x:alignment vertical="center"/>
    </x:xf>
    <x:xf numFmtId="0" fontId="5" fillId="0" borderId="6" xfId="0" applyNumberFormat="1" applyFont="1" applyFill="1" applyBorder="1" applyAlignment="1">
      <x:alignment vertical="center"/>
    </x:xf>
    <x:xf numFmtId="0" fontId="5" fillId="6" borderId="4" xfId="0" applyNumberFormat="1" applyFont="1" applyFill="1" applyBorder="1" applyAlignment="1">
      <x:alignment vertical="center"/>
    </x:xf>
    <x:xf numFmtId="0" fontId="5" fillId="6" borderId="5" xfId="0" applyNumberFormat="1" applyFont="1" applyFill="1" applyBorder="1" applyAlignment="1">
      <x:alignment vertical="center"/>
    </x:xf>
    <x:xf numFmtId="0" fontId="5" fillId="6" borderId="6" xfId="0" applyNumberFormat="1" applyFont="1" applyFill="1" applyBorder="1" applyAlignment="1">
      <x:alignment vertical="center"/>
    </x:xf>
    <x:xf numFmtId="0" fontId="7" fillId="6" borderId="4" xfId="0" applyNumberFormat="1" applyFont="1" applyFill="1" applyBorder="1" applyAlignment="1">
      <x:alignment vertical="center"/>
    </x:xf>
    <x:xf numFmtId="0" fontId="7" fillId="6" borderId="5" xfId="0" applyNumberFormat="1" applyFont="1" applyFill="1" applyBorder="1" applyAlignment="1">
      <x:alignment vertical="center"/>
    </x:xf>
    <x:xf numFmtId="0" fontId="7" fillId="6" borderId="6" xfId="0" applyNumberFormat="1" applyFont="1" applyFill="1" applyBorder="1" applyAlignment="1">
      <x:alignment vertical="center"/>
    </x:xf>
    <x:xf numFmtId="0" fontId="7" fillId="6" borderId="4" xfId="0" applyNumberFormat="1" applyFont="1" applyFill="1" applyBorder="1" applyAlignment="1">
      <x:alignment horizontal="center" vertical="center"/>
    </x:xf>
    <x:xf numFmtId="0" fontId="7" fillId="6" borderId="5" xfId="0" applyNumberFormat="1" applyFont="1" applyFill="1" applyBorder="1" applyAlignment="1">
      <x:alignment horizontal="center" vertical="center"/>
    </x:xf>
    <x:xf numFmtId="0" fontId="7" fillId="6" borderId="6" xfId="0" applyNumberFormat="1" applyFont="1" applyFill="1" applyBorder="1" applyAlignment="1">
      <x:alignment horizontal="center" vertical="center"/>
    </x:xf>
    <x:xf numFmtId="0" fontId="0"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horizontal="center"/>
    </x:xf>
    <x:xf numFmtId="0" fontId="0" fillId="6" borderId="0" xfId="0" applyNumberFormat="1" applyFont="1" applyFill="1" applyBorder="1"/>
    <x:xf numFmtId="0" fontId="9" fillId="6" borderId="0" xfId="0" applyNumberFormat="1" applyFont="1" applyFill="1" applyBorder="1"/>
    <x:xf numFmtId="0" fontId="9" fillId="6" borderId="0" xfId="0" applyNumberFormat="1" applyFont="1" applyFill="1" applyBorder="1" applyAlignment="1">
      <x:alignment wrapText="1"/>
    </x:xf>
    <x:xf numFmtId="0" fontId="9" fillId="6" borderId="0" xfId="0" applyNumberFormat="1" applyFont="1" applyFill="1" applyBorder="1" applyAlignment="1">
      <x:alignment horizontal="left" wrapText="1"/>
    </x:xf>
    <x:xf numFmtId="0" fontId="9" fillId="6" borderId="0" xfId="0" applyNumberFormat="1" applyFont="1" applyFill="1" applyBorder="1" applyAlignment="1">
      <x:alignment horizontal="left" vertical="center" wrapText="1"/>
    </x:xf>
    <x:xf numFmtId="0" fontId="0" fillId="5" borderId="0" xfId="0" applyNumberFormat="1" applyFont="1" applyFill="1" applyBorder="1"/>
    <x:xf numFmtId="0" fontId="10" fillId="5" borderId="0" xfId="0" applyNumberFormat="1" applyFont="1" applyFill="1" applyBorder="1"/>
    <x:xf numFmtId="0" fontId="10" fillId="5" borderId="0" xfId="0" applyNumberFormat="1" applyFont="1" applyFill="1" applyBorder="1" applyAlignment="1">
      <x:alignment horizontal="center"/>
    </x:xf>
    <x:xf numFmtId="0" fontId="0" fillId="8" borderId="0" xfId="0" applyNumberFormat="1" applyFont="1" applyFill="1" applyBorder="1"/>
    <x:xf numFmtId="0" fontId="11" fillId="8" borderId="0" xfId="0" applyNumberFormat="1" applyFont="1" applyFill="1" applyBorder="1"/>
    <x:xf numFmtId="0" fontId="11" fillId="8" borderId="0" xfId="0" applyNumberFormat="1" applyFont="1" applyFill="1" applyBorder="1" applyAlignment="1">
      <x:alignment wrapText="1"/>
    </x:xf>
    <x:xf numFmtId="0" fontId="11" fillId="8" borderId="0" xfId="0" applyNumberFormat="1" applyFont="1" applyFill="1" applyBorder="1" applyAlignment="1">
      <x:alignment vertical="center" wrapText="1"/>
    </x:xf>
    <x:xf numFmtId="0" fontId="0" fillId="0" borderId="0" xfId="0" applyNumberFormat="1" applyFont="1" applyFill="1" applyBorder="1"/>
    <x:xf numFmtId="0" fontId="8" fillId="2" borderId="0" xfId="0" applyNumberFormat="1" applyFont="1" applyFill="1" applyBorder="1"/>
    <x:xf numFmtId="0" fontId="8" fillId="2" borderId="0" xfId="0" applyNumberFormat="1" applyFont="1" applyFill="1" applyBorder="1" applyAlignment="1">
      <x:alignment wrapText="1"/>
    </x:xf>
  </x:cellXfs>
  <x:cellStyles count="1">
    <x:cellStyle name="Normal" xfId="0"/>
  </x:cellStyles>
  <x:dxfs count="4">
    <x:dxf>
      <x:font>
        <x:b/>
        <x:color rgb="FF275D38"/>
      </x:font>
      <x:fill>
        <x:patternFill patternType="solid">
          <x:bgColor rgb="FFD9EAD3"/>
        </x:patternFill>
      </x:fill>
    </x:dxf>
    <x:dxf>
      <x:font>
        <x:b/>
        <x:color rgb="FF8B1E1E"/>
      </x:font>
      <x:fill>
        <x:patternFill patternType="solid">
          <x:bgColor rgb="FFF4CCCC"/>
        </x:patternFill>
      </x:fill>
    </x:dxf>
    <x:dxf>
      <x:font>
        <x:b/>
        <x:color rgb="FF275D38"/>
      </x:font>
      <x:fill>
        <x:patternFill patternType="solid">
          <x:bgColor rgb="FFD9EAD3"/>
        </x:patternFill>
      </x:fill>
    </x:dxf>
    <x:dxf>
      <x:font>
        <x:b/>
        <x:color rgb="FF8B1E1E"/>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1af7801d614e23" /><Relationship Type="http://schemas.openxmlformats.org/officeDocument/2006/relationships/theme" Target="/xl/theme/theme1.xml" Id="R13b479fc8e994f48" /><Relationship Type="http://schemas.openxmlformats.org/officeDocument/2006/relationships/sharedStrings" Target="/xl/sharedStrings.xml" Id="R90b2f06f6d104b63" /><Relationship Type="http://schemas.openxmlformats.org/officeDocument/2006/relationships/worksheet" Target="/xl/worksheets/sheet1.xml" Id="R963a10116b964449" /><Relationship Type="http://schemas.openxmlformats.org/officeDocument/2006/relationships/worksheet" Target="/xl/worksheets/sheet2.xml" Id="R7d1229c209b1431f" /><Relationship Type="http://schemas.openxmlformats.org/officeDocument/2006/relationships/worksheet" Target="/xl/worksheets/sheet3.xml" Id="R4f42609b83724885" /><Relationship Type="http://schemas.openxmlformats.org/officeDocument/2006/relationships/worksheet" Target="/xl/worksheets/sheet4.xml" Id="R8edf862854354b88" /><Relationship Type="http://schemas.openxmlformats.org/officeDocument/2006/relationships/worksheet" Target="/xl/worksheets/sheet5.xml" Id="R825d5311e9744b5b" /></Relationships>
</file>

<file path=xl/tables/table1.xml><?xml version="1.0" encoding="utf-8"?>
<x:table xmlns:x="http://schemas.openxmlformats.org/spreadsheetml/2006/main" id="1" name="EventInventoryTable" displayName="EventInventoryTable" ref="A1:O35" headerRowCount="1" totalsRowCount="0" totalsRowShown="0">
  <x:tableColumns count="15">
    <x:tableColumn id="1" name="Event ID"/>
    <x:tableColumn id="2" name="Event Name"/>
    <x:tableColumn id="3" name="Venue"/>
    <x:tableColumn id="4" name="Event Date"/>
    <x:tableColumn id="5" name="Start Time"/>
    <x:tableColumn id="6" name="Area"/>
    <x:tableColumn id="7" name="Category"/>
    <x:tableColumn id="8" name="Age"/>
    <x:tableColumn id="9" name="Source Status"/>
    <x:tableColumn id="10" name="Wingman Coverage"/>
    <x:tableColumn id="11" name="Booking Status"/>
    <x:tableColumn id="12" name="Last Verified"/>
    <x:tableColumn id="13" name="Official Source"/>
    <x:tableColumn id="14" name="Available Services"/>
    <x:tableColumn id="15" name="Internal Notes"/>
  </x:tableColumns>
  <x:tableStyleInfo name="TableStyleMedium2" showFirstColumn="0" showLastColumn="0" showRowStripes="1" showColumnStripes="0"/>
</x:table>
</file>

<file path=xl/tables/table2.xml><?xml version="1.0" encoding="utf-8"?>
<x:table xmlns:x="http://schemas.openxmlformats.org/spreadsheetml/2006/main" id="2" name="WingmanPipelineTable" displayName="WingmanPipelineTable" ref="A1:O11" headerRowCount="1" totalsRowCount="0" totalsRowShown="0">
  <x:tableColumns count="15">
    <x:tableColumn id="1" name="Lead ID"/>
    <x:tableColumn id="2" name="Organization / Person"/>
    <x:tableColumn id="3" name="Lead Type"/>
    <x:tableColumn id="4" name="Public Source"/>
    <x:tableColumn id="5" name="Public Contact Method"/>
    <x:tableColumn id="6" name="Likely Coverage"/>
    <x:tableColumn id="7" name="Profile Consent"/>
    <x:tableColumn id="8" name="Identity Check"/>
    <x:tableColumn id="9" name="Venue Authority Evidence"/>
    <x:tableColumn id="10" name="Agreement Signed"/>
    <x:tableColumn id="11" name="Verification Status"/>
    <x:tableColumn id="12" name="Production Visible"/>
    <x:tableColumn id="13" name="Owner"/>
    <x:tableColumn id="14" name="Next Action"/>
    <x:tableColumn id="15" name="Internal Notes"/>
  </x:tableColumns>
  <x:tableStyleInfo name="TableStyleMedium2" showFirstColumn="0" showLastColumn="0" showRowStripes="1" showColumnStripes="0"/>
</x:table>
</file>

<file path=xl/tables/table3.xml><?xml version="1.0" encoding="utf-8"?>
<x:table xmlns:x="http://schemas.openxmlformats.org/spreadsheetml/2006/main" id="3" name="VerificationChecklistTable" displayName="VerificationChecklistTable" ref="A1:H11" headerRowCount="1" totalsRowCount="0" totalsRowShown="0">
  <x:tableColumns count="8">
    <x:tableColumn id="1" name="Gate"/>
    <x:tableColumn id="2" name="Requirement"/>
    <x:tableColumn id="3" name="Evidence Required"/>
    <x:tableColumn id="4" name="Public Field?"/>
    <x:tableColumn id="5" name="Blocking?"/>
    <x:tableColumn id="6" name="Owner"/>
    <x:tableColumn id="7" name="Status"/>
    <x:tableColumn id="8" name="Notes"/>
  </x:tableColumns>
  <x:tableStyleInfo name="TableStyleMedium2" showFirstColumn="0" showLastColumn="0" showRowStripes="1" showColumnStripes="0"/>
</x:table>
</file>

<file path=xl/tables/table4.xml><?xml version="1.0" encoding="utf-8"?>
<x:table xmlns:x="http://schemas.openxmlformats.org/spreadsheetml/2006/main" id="4" name="ImportSchemaTable" displayName="ImportSchemaTable" ref="A1:G25" headerRowCount="1" totalsRowCount="0" totalsRowShown="0">
  <x:tableColumns count="7">
    <x:tableColumn id="1" name="Entity"/>
    <x:tableColumn id="2" name="Field"/>
    <x:tableColumn id="3" name="Type"/>
    <x:tableColumn id="4" name="Required"/>
    <x:tableColumn id="5" name="Public?"/>
    <x:tableColumn id="6" name="Source"/>
    <x:tableColumn id="7" name="Rule / Meaning"/>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353f1a6dd314a79" /></Relationships>
</file>

<file path=xl/worksheets/_rels/sheet3.xml.rels>&#65279;<?xml version="1.0" encoding="utf-8"?><Relationships xmlns="http://schemas.openxmlformats.org/package/2006/relationships"><Relationship Type="http://schemas.openxmlformats.org/officeDocument/2006/relationships/table" Target="/xl/tables/table2.xml" Id="R310ebae84c5f46bd" /></Relationships>
</file>

<file path=xl/worksheets/_rels/sheet4.xml.rels>&#65279;<?xml version="1.0" encoding="utf-8"?><Relationships xmlns="http://schemas.openxmlformats.org/package/2006/relationships"><Relationship Type="http://schemas.openxmlformats.org/officeDocument/2006/relationships/table" Target="/xl/tables/table3.xml" Id="R6821ad5f9182441a" /></Relationships>
</file>

<file path=xl/worksheets/_rels/sheet5.xml.rels>&#65279;<?xml version="1.0" encoding="utf-8"?><Relationships xmlns="http://schemas.openxmlformats.org/package/2006/relationships"><Relationship Type="http://schemas.openxmlformats.org/officeDocument/2006/relationships/table" Target="/xl/tables/table4.xml" Id="R430ca905916c4007"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18" hidden="0" customWidth="1"/>
    <x:col min="3" max="3" width="29" hidden="0" customWidth="1"/>
    <x:col min="4" max="4" width="18" hidden="0" customWidth="1"/>
    <x:col min="5" max="5" width="14" hidden="0" customWidth="1"/>
    <x:col min="6" max="6" width="14" hidden="0" customWidth="1"/>
    <x:col min="7" max="7" width="14" hidden="0" customWidth="1"/>
    <x:col min="8" max="8" width="14" hidden="0" customWidth="1"/>
  </x:cols>
  <x:sheetData>
    <x:row r="1">
      <x:c r="A1" s="26" t="str">
        <x:v>WINGMAN — LIVE SUPPLY CONTROL</x:v>
      </x:c>
      <x:c r="B1" s="26" t="str">
        <x:v>WINGMAN — LIVE SUPPLY CONTROL</x:v>
      </x:c>
      <x:c r="C1" s="26" t="str">
        <x:v>WINGMAN — LIVE SUPPLY CONTROL</x:v>
      </x:c>
      <x:c r="D1" s="26" t="str">
        <x:v>WINGMAN — LIVE SUPPLY CONTROL</x:v>
      </x:c>
      <x:c r="E1" s="26" t="str">
        <x:v>WINGMAN — LIVE SUPPLY CONTROL</x:v>
      </x:c>
      <x:c r="F1" s="26" t="str">
        <x:v>WINGMAN — LIVE SUPPLY CONTROL</x:v>
      </x:c>
      <x:c r="G1" s="26" t="str">
        <x:v>WINGMAN — LIVE SUPPLY CONTROL</x:v>
      </x:c>
      <x:c r="H1" s="26" t="str">
        <x:v>WINGMAN — LIVE SUPPLY CONTROL</x:v>
      </x:c>
    </x:row>
    <x:row r="2">
      <x:c r="A2" s="26" t="str">
        <x:v>WINGMAN — LIVE SUPPLY CONTROL</x:v>
      </x:c>
      <x:c r="B2" s="26" t="str">
        <x:v>WINGMAN — LIVE SUPPLY CONTROL</x:v>
      </x:c>
      <x:c r="C2" s="26" t="str">
        <x:v>WINGMAN — LIVE SUPPLY CONTROL</x:v>
      </x:c>
      <x:c r="D2" s="26" t="str">
        <x:v>WINGMAN — LIVE SUPPLY CONTROL</x:v>
      </x:c>
      <x:c r="E2" s="26" t="str">
        <x:v>WINGMAN — LIVE SUPPLY CONTROL</x:v>
      </x:c>
      <x:c r="F2" s="26" t="str">
        <x:v>WINGMAN — LIVE SUPPLY CONTROL</x:v>
      </x:c>
      <x:c r="G2" s="26" t="str">
        <x:v>WINGMAN — LIVE SUPPLY CONTROL</x:v>
      </x:c>
      <x:c r="H2" s="26" t="str">
        <x:v>WINGMAN — LIVE SUPPLY CONTROL</x:v>
      </x:c>
    </x:row>
    <x:row r="3">
      <x:c r="A3" s="58"/>
      <x:c r="B3" s="58"/>
      <x:c r="C3" s="58"/>
      <x:c r="D3" s="58"/>
      <x:c r="E3" s="58"/>
      <x:c r="F3" s="58"/>
      <x:c r="G3" s="58"/>
      <x:c r="H3" s="58"/>
    </x:row>
    <x:row r="4" ht="28" customHeight="1">
      <x:c r="A4" s="30" t="str">
        <x:v>Launch metric</x:v>
      </x:c>
      <x:c r="B4" s="30" t="str">
        <x:v>Current</x:v>
      </x:c>
      <x:c r="C4" s="30" t="str">
        <x:v>Required</x:v>
      </x:c>
      <x:c r="D4" s="30" t="str">
        <x:v>Status</x:v>
      </x:c>
      <x:c r="E4" s="58"/>
      <x:c r="F4" s="58"/>
      <x:c r="G4" s="58"/>
      <x:c r="H4" s="58"/>
    </x:row>
    <x:row r="5" ht="30" customHeight="1">
      <x:c r="A5" s="31" t="str">
        <x:v>Research-confirmed upcoming events</x:v>
      </x:c>
      <x:c r="B5" s="40" t="n">
        <x:f>COUNTA('Event Inventory'!A2:A200)</x:f>
        <x:v>34</x:v>
      </x:c>
      <x:c r="C5" s="31" t="str">
        <x:v>Live discovery inventory</x:v>
      </x:c>
      <x:c r="D5" s="31" t="str">
        <x:f>IF(B5&gt;0,"PASS","FAIL")</x:f>
        <x:v>PASS</x:v>
      </x:c>
      <x:c r="E5" s="58"/>
      <x:c r="F5" s="58"/>
      <x:c r="G5" s="58"/>
      <x:c r="H5" s="58"/>
    </x:row>
    <x:row r="6" ht="30" customHeight="1">
      <x:c r="A6" s="32" t="str">
        <x:v>Wingman-bookable events</x:v>
      </x:c>
      <x:c r="B6" s="41" t="n">
        <x:f>COUNTIF('Event Inventory'!K2:K200,"Bookable")</x:f>
        <x:v>0</x:v>
      </x:c>
      <x:c r="C6" s="32" t="str">
        <x:v>&gt; 0 with approved terms</x:v>
      </x:c>
      <x:c r="D6" s="32" t="str">
        <x:f>IF(B6&gt;0,"PASS","FAIL")</x:f>
        <x:v>FAIL</x:v>
      </x:c>
      <x:c r="E6" s="58"/>
      <x:c r="F6" s="58"/>
      <x:c r="G6" s="58"/>
      <x:c r="H6" s="58"/>
    </x:row>
    <x:row r="7" ht="30" customHeight="1">
      <x:c r="A7" s="32" t="str">
        <x:v>Real recruitment leads</x:v>
      </x:c>
      <x:c r="B7" s="41" t="n">
        <x:f>COUNTA('Wingman Pipeline'!A2:A200)</x:f>
        <x:v>10</x:v>
      </x:c>
      <x:c r="C7" s="32" t="str">
        <x:v>Recruit continuously</x:v>
      </x:c>
      <x:c r="D7" s="32" t="str">
        <x:f>IF(B7&gt;0,"PASS","FAIL")</x:f>
        <x:v>PASS</x:v>
      </x:c>
      <x:c r="E7" s="58"/>
      <x:c r="F7" s="58"/>
      <x:c r="G7" s="58"/>
      <x:c r="H7" s="58"/>
    </x:row>
    <x:row r="8" ht="30" customHeight="1">
      <x:c r="A8" s="32" t="str">
        <x:v>Verified Wingmen</x:v>
      </x:c>
      <x:c r="B8" s="41" t="n">
        <x:f>COUNTIF('Wingman Pipeline'!K2:K200,"Verified")</x:f>
        <x:v>0</x:v>
      </x:c>
      <x:c r="C8" s="32" t="n">
        <x:v>3</x:v>
      </x:c>
      <x:c r="D8" s="32" t="str">
        <x:f>IF(B8&gt;=3,"PASS","FAIL")</x:f>
        <x:v>FAIL</x:v>
      </x:c>
      <x:c r="E8" s="58"/>
      <x:c r="F8" s="58"/>
      <x:c r="G8" s="58"/>
      <x:c r="H8" s="58"/>
    </x:row>
    <x:row r="9" ht="30" customHeight="1">
      <x:c r="A9" s="32" t="str">
        <x:v>Minimum supply gate</x:v>
      </x:c>
      <x:c r="B9" s="41" t="str">
        <x:f>IF(B8&gt;=3,"PASS","FAIL")</x:f>
        <x:v>FAIL</x:v>
      </x:c>
      <x:c r="C9" s="32" t="str">
        <x:v>3 verified Wingmen</x:v>
      </x:c>
      <x:c r="D9" s="32" t="str">
        <x:f>B9</x:f>
        <x:v>FAIL</x:v>
      </x:c>
      <x:c r="E9" s="58"/>
      <x:c r="F9" s="58"/>
      <x:c r="G9" s="58"/>
      <x:c r="H9" s="58"/>
    </x:row>
    <x:row r="10" ht="30" customHeight="1">
      <x:c r="A10" s="33" t="str">
        <x:v>Public launch decision</x:v>
      </x:c>
      <x:c r="B10" s="42" t="str">
        <x:f>IF(AND(B6&gt;0,B8&gt;=3),"READY","NOT READY")</x:f>
        <x:v>NOT READY</x:v>
      </x:c>
      <x:c r="C10" s="33" t="str">
        <x:v>All gates pass</x:v>
      </x:c>
      <x:c r="D10" s="33" t="str">
        <x:f>B10</x:f>
        <x:v>NOT READY</x:v>
      </x:c>
      <x:c r="E10" s="58"/>
      <x:c r="F10" s="58"/>
      <x:c r="G10" s="58"/>
      <x:c r="H10" s="58"/>
    </x:row>
    <x:row r="11">
      <x:c r="A11" s="58"/>
      <x:c r="B11" s="58"/>
      <x:c r="C11" s="58"/>
      <x:c r="D11" s="58"/>
      <x:c r="E11" s="58"/>
      <x:c r="F11" s="58"/>
      <x:c r="G11" s="58"/>
      <x:c r="H11" s="58"/>
    </x:row>
    <x:row r="12">
      <x:c r="A12" s="45" t="str">
        <x:v>OPERATING RULE</x:v>
      </x:c>
      <x:c r="B12" s="45" t="str">
        <x:v>OPERATING RULE</x:v>
      </x:c>
      <x:c r="C12" s="45" t="str">
        <x:v>OPERATING RULE</x:v>
      </x:c>
      <x:c r="D12" s="45" t="str">
        <x:v>OPERATING RULE</x:v>
      </x:c>
      <x:c r="E12" s="45" t="str">
        <x:v>OPERATING RULE</x:v>
      </x:c>
      <x:c r="F12" s="45" t="str">
        <x:v>OPERATING RULE</x:v>
      </x:c>
      <x:c r="G12" s="45" t="str">
        <x:v>OPERATING RULE</x:v>
      </x:c>
      <x:c r="H12" s="45" t="str">
        <x:v>OPERATING RULE</x:v>
      </x:c>
    </x:row>
    <x:row r="13">
      <x:c r="A13" s="50" t="str">
        <x:v>Events may appear as discovery listings when confirmed by an official source. A ‘Book with Wingman’ action stays disabled until a verified Wingman or venue partner supplies approved inventory, pricing, terms and response coverage.</x:v>
      </x:c>
      <x:c r="B13" s="50" t="str">
        <x:v>Events may appear as discovery listings when confirmed by an official source. A ‘Book with Wingman’ action stays disabled until a verified Wingman or venue partner supplies approved inventory, pricing, terms and response coverage.</x:v>
      </x:c>
      <x:c r="C13" s="50" t="str">
        <x:v>Events may appear as discovery listings when confirmed by an official source. A ‘Book with Wingman’ action stays disabled until a verified Wingman or venue partner supplies approved inventory, pricing, terms and response coverage.</x:v>
      </x:c>
      <x:c r="D13" s="50" t="str">
        <x:v>Events may appear as discovery listings when confirmed by an official source. A ‘Book with Wingman’ action stays disabled until a verified Wingman or venue partner supplies approved inventory, pricing, terms and response coverage.</x:v>
      </x:c>
      <x:c r="E13" s="50" t="str">
        <x:v>Events may appear as discovery listings when confirmed by an official source. A ‘Book with Wingman’ action stays disabled until a verified Wingman or venue partner supplies approved inventory, pricing, terms and response coverage.</x:v>
      </x:c>
      <x:c r="F13" s="50" t="str">
        <x:v>Events may appear as discovery listings when confirmed by an official source. A ‘Book with Wingman’ action stays disabled until a verified Wingman or venue partner supplies approved inventory, pricing, terms and response coverage.</x:v>
      </x:c>
      <x:c r="G13" s="50" t="str">
        <x:v>Events may appear as discovery listings when confirmed by an official source. A ‘Book with Wingman’ action stays disabled until a verified Wingman or venue partner supplies approved inventory, pricing, terms and response coverage.</x:v>
      </x:c>
      <x:c r="H13" s="50" t="str">
        <x:v>Events may appear as discovery listings when confirmed by an official source. A ‘Book with Wingman’ action stays disabled until a verified Wingman or venue partner supplies approved inventory, pricing, terms and response coverage.</x:v>
      </x:c>
    </x:row>
    <x:row r="14">
      <x:c r="A14" s="50" t="str">
        <x:v>Events may appear as discovery listings when confirmed by an official source. A ‘Book with Wingman’ action stays disabled until a verified Wingman or venue partner supplies approved inventory, pricing, terms and response coverage.</x:v>
      </x:c>
      <x:c r="B14" s="50" t="str">
        <x:v>Events may appear as discovery listings when confirmed by an official source. A ‘Book with Wingman’ action stays disabled until a verified Wingman or venue partner supplies approved inventory, pricing, terms and response coverage.</x:v>
      </x:c>
      <x:c r="C14" s="50" t="str">
        <x:v>Events may appear as discovery listings when confirmed by an official source. A ‘Book with Wingman’ action stays disabled until a verified Wingman or venue partner supplies approved inventory, pricing, terms and response coverage.</x:v>
      </x:c>
      <x:c r="D14" s="50" t="str">
        <x:v>Events may appear as discovery listings when confirmed by an official source. A ‘Book with Wingman’ action stays disabled until a verified Wingman or venue partner supplies approved inventory, pricing, terms and response coverage.</x:v>
      </x:c>
      <x:c r="E14" s="50" t="str">
        <x:v>Events may appear as discovery listings when confirmed by an official source. A ‘Book with Wingman’ action stays disabled until a verified Wingman or venue partner supplies approved inventory, pricing, terms and response coverage.</x:v>
      </x:c>
      <x:c r="F14" s="50" t="str">
        <x:v>Events may appear as discovery listings when confirmed by an official source. A ‘Book with Wingman’ action stays disabled until a verified Wingman or venue partner supplies approved inventory, pricing, terms and response coverage.</x:v>
      </x:c>
      <x:c r="G14" s="50" t="str">
        <x:v>Events may appear as discovery listings when confirmed by an official source. A ‘Book with Wingman’ action stays disabled until a verified Wingman or venue partner supplies approved inventory, pricing, terms and response coverage.</x:v>
      </x:c>
      <x:c r="H14" s="50" t="str">
        <x:v>Events may appear as discovery listings when confirmed by an official source. A ‘Book with Wingman’ action stays disabled until a verified Wingman or venue partner supplies approved inventory, pricing, terms and response coverage.</x:v>
      </x:c>
    </x:row>
    <x:row r="15">
      <x:c r="A15" s="50" t="str">
        <x:v>Events may appear as discovery listings when confirmed by an official source. A ‘Book with Wingman’ action stays disabled until a verified Wingman or venue partner supplies approved inventory, pricing, terms and response coverage.</x:v>
      </x:c>
      <x:c r="B15" s="50" t="str">
        <x:v>Events may appear as discovery listings when confirmed by an official source. A ‘Book with Wingman’ action stays disabled until a verified Wingman or venue partner supplies approved inventory, pricing, terms and response coverage.</x:v>
      </x:c>
      <x:c r="C15" s="50" t="str">
        <x:v>Events may appear as discovery listings when confirmed by an official source. A ‘Book with Wingman’ action stays disabled until a verified Wingman or venue partner supplies approved inventory, pricing, terms and response coverage.</x:v>
      </x:c>
      <x:c r="D15" s="50" t="str">
        <x:v>Events may appear as discovery listings when confirmed by an official source. A ‘Book with Wingman’ action stays disabled until a verified Wingman or venue partner supplies approved inventory, pricing, terms and response coverage.</x:v>
      </x:c>
      <x:c r="E15" s="50" t="str">
        <x:v>Events may appear as discovery listings when confirmed by an official source. A ‘Book with Wingman’ action stays disabled until a verified Wingman or venue partner supplies approved inventory, pricing, terms and response coverage.</x:v>
      </x:c>
      <x:c r="F15" s="50" t="str">
        <x:v>Events may appear as discovery listings when confirmed by an official source. A ‘Book with Wingman’ action stays disabled until a verified Wingman or venue partner supplies approved inventory, pricing, terms and response coverage.</x:v>
      </x:c>
      <x:c r="G15" s="50" t="str">
        <x:v>Events may appear as discovery listings when confirmed by an official source. A ‘Book with Wingman’ action stays disabled until a verified Wingman or venue partner supplies approved inventory, pricing, terms and response coverage.</x:v>
      </x:c>
      <x:c r="H15" s="50" t="str">
        <x:v>Events may appear as discovery listings when confirmed by an official source. A ‘Book with Wingman’ action stays disabled until a verified Wingman or venue partner supplies approved inventory, pricing, terms and response coverage.</x:v>
      </x:c>
    </x:row>
    <x:row r="16">
      <x:c r="A16" s="58"/>
      <x:c r="B16" s="58"/>
      <x:c r="C16" s="58"/>
      <x:c r="D16" s="58"/>
      <x:c r="E16" s="58"/>
      <x:c r="F16" s="58"/>
      <x:c r="G16" s="58"/>
      <x:c r="H16" s="58"/>
    </x:row>
    <x:row r="17">
      <x:c r="A17" s="53" t="str">
        <x:v>NEXT ACTIONS</x:v>
      </x:c>
      <x:c r="B17" s="53" t="str">
        <x:v>NEXT ACTIONS</x:v>
      </x:c>
      <x:c r="C17" s="53" t="str">
        <x:v>NEXT ACTIONS</x:v>
      </x:c>
      <x:c r="D17" s="53" t="str">
        <x:v>NEXT ACTIONS</x:v>
      </x:c>
      <x:c r="E17" s="53" t="str">
        <x:v>NEXT ACTIONS</x:v>
      </x:c>
      <x:c r="F17" s="53" t="str">
        <x:v>NEXT ACTIONS</x:v>
      </x:c>
      <x:c r="G17" s="53" t="str">
        <x:v>NEXT ACTIONS</x:v>
      </x:c>
      <x:c r="H17" s="53" t="str">
        <x:v>NEXT ACTIONS</x:v>
      </x:c>
    </x:row>
    <x:row r="18">
      <x:c r="A18"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B18"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C18"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D18"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E18"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F18"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G18"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H18"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row>
    <x:row r="19">
      <x:c r="A19"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B19"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C19"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D19"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E19"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F19"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G19"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H19"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row>
    <x:row r="20">
      <x:c r="A20"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B20"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C20"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D20"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E20"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F20"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G20"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H20"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row>
    <x:row r="21">
      <x:c r="A21"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B21"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C21"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D21"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E21"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F21"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G21"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H21"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row>
    <x:row r="22">
      <x:c r="A22"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B22"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C22"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D22"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E22"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F22"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G22"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c r="H22" s="57" t="str">
        <x:v>1. Publish the 34 confirmed events as discovery-only listings.
2. Contact the ten recruitment leads and send the same Wingman application.
3. Verify identity, consent, venue authority, inventory and payout details.
4. Assign at least three verified Wingmen and link approved offers to events.
5. Enable request/quote/payment only for those approved offers.</x:v>
      </x:c>
    </x:row>
  </x:sheetData>
  <x:mergeCells>
    <x:mergeCell ref="A1:H2"/>
    <x:mergeCell ref="A12:H12"/>
    <x:mergeCell ref="A13:H15"/>
    <x:mergeCell ref="A17:H17"/>
    <x:mergeCell ref="A18:H22"/>
  </x:mergeCells>
  <x:conditionalFormatting sqref="D5:D9">
    <x:cfRule type="containsText" dxfId="0" priority="1" operator="containsText" text="PASS"/>
    <x:cfRule type="containsText" dxfId="1" priority="2" operator="containsText" text="FAIL"/>
  </x:conditionalFormatting>
  <x:conditionalFormatting sqref="D10:D10">
    <x:cfRule type="expression" dxfId="2" priority="3">
      <x:formula>$D$10="READY"</x:formula>
    </x:cfRule>
    <x:cfRule type="expression" dxfId="3" priority="4">
      <x:formula>$D$10="NOT READY"</x:formula>
    </x:cfRule>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9" hidden="0" customWidth="1"/>
    <x:col min="3" max="3" width="18" hidden="0" customWidth="1"/>
    <x:col min="4" max="4" width="13" hidden="0" customWidth="1"/>
    <x:col min="5" max="5" width="14" hidden="0" customWidth="1"/>
    <x:col min="6" max="6" width="17" hidden="0" customWidth="1"/>
    <x:col min="7" max="7" width="20" hidden="0" customWidth="1"/>
    <x:col min="8" max="8" width="12" hidden="0" customWidth="1"/>
    <x:col min="9" max="9" width="23" hidden="0" customWidth="1"/>
    <x:col min="10" max="10" width="17" hidden="0" customWidth="1"/>
    <x:col min="11" max="11" width="27" hidden="0" customWidth="1"/>
    <x:col min="12" max="12" width="14" hidden="0" customWidth="1"/>
    <x:col min="13" max="13" width="43" hidden="0" customWidth="1"/>
    <x:col min="14" max="14" width="24" hidden="0" customWidth="1"/>
    <x:col min="15" max="15" width="54" hidden="0" customWidth="1"/>
  </x:cols>
  <x:sheetData>
    <x:row r="1" ht="34" customHeight="1">
      <x:c r="A1" s="5" t="str">
        <x:v>Event ID</x:v>
      </x:c>
      <x:c r="B1" s="5" t="str">
        <x:v>Event Name</x:v>
      </x:c>
      <x:c r="C1" s="5" t="str">
        <x:v>Venue</x:v>
      </x:c>
      <x:c r="D1" s="5" t="str">
        <x:v>Event Date</x:v>
      </x:c>
      <x:c r="E1" s="5" t="str">
        <x:v>Start Time</x:v>
      </x:c>
      <x:c r="F1" s="5" t="str">
        <x:v>Area</x:v>
      </x:c>
      <x:c r="G1" s="5" t="str">
        <x:v>Category</x:v>
      </x:c>
      <x:c r="H1" s="5" t="str">
        <x:v>Age</x:v>
      </x:c>
      <x:c r="I1" s="5" t="str">
        <x:v>Source Status</x:v>
      </x:c>
      <x:c r="J1" s="5" t="str">
        <x:v>Wingman Coverage</x:v>
      </x:c>
      <x:c r="K1" s="5" t="str">
        <x:v>Booking Status</x:v>
      </x:c>
      <x:c r="L1" s="5" t="str">
        <x:v>Last Verified</x:v>
      </x:c>
      <x:c r="M1" s="5" t="str">
        <x:v>Official Source</x:v>
      </x:c>
      <x:c r="N1" s="5" t="str">
        <x:v>Available Services</x:v>
      </x:c>
      <x:c r="O1" s="5" t="str">
        <x:v>Internal Notes</x:v>
      </x:c>
    </x:row>
    <x:row r="2" ht="31" customHeight="1">
      <x:c r="A2" s="8" t="str">
        <x:v>EVT-0001</x:v>
      </x:c>
      <x:c r="B2" s="8" t="str">
        <x:v>Peewee at E11EVEN</x:v>
      </x:c>
      <x:c r="C2" s="8" t="str">
        <x:v>E11EVEN Miami</x:v>
      </x:c>
      <x:c r="D2" s="9" t="n">
        <x:v>46266</x:v>
      </x:c>
      <x:c r="E2" s="8" t="str">
        <x:v>Check source</x:v>
      </x:c>
      <x:c r="F2" s="8" t="str">
        <x:v>Downtown Miami</x:v>
      </x:c>
      <x:c r="G2" s="8" t="str">
        <x:v>Nightclub</x:v>
      </x:c>
      <x:c r="H2" s="8" t="str">
        <x:v>21+</x:v>
      </x:c>
      <x:c r="I2" s="17" t="str">
        <x:v>Official venue calendar</x:v>
      </x:c>
      <x:c r="J2" s="20" t="str">
        <x:v>Unassigned</x:v>
      </x:c>
      <x:c r="K2" s="20" t="str">
        <x:v>Awaiting Wingman inventory</x:v>
      </x:c>
      <x:c r="L2" s="9" t="n">
        <x:v>46265</x:v>
      </x:c>
      <x:c r="M2" s="10" t="str">
        <x:v>https://www.11miami.com/events</x:v>
      </x:c>
      <x:c r="N2" s="8" t="str">
        <x:v>Tickets; VIP table request</x:v>
      </x:c>
      <x:c r="O2" s="8" t="str">
        <x:v>Discovery can be public; Wingman booking remains disabled until inventory is approved.</x:v>
      </x:c>
    </x:row>
    <x:row r="3" ht="31" customHeight="1">
      <x:c r="A3" s="11" t="str">
        <x:v>EVT-0002</x:v>
      </x:c>
      <x:c r="B3" s="11" t="str">
        <x:v>LDW ft Roxy Ferrari</x:v>
      </x:c>
      <x:c r="C3" s="11" t="str">
        <x:v>E11EVEN Miami</x:v>
      </x:c>
      <x:c r="D3" s="12" t="n">
        <x:v>46267</x:v>
      </x:c>
      <x:c r="E3" s="11" t="str">
        <x:v>Check source</x:v>
      </x:c>
      <x:c r="F3" s="11" t="str">
        <x:v>Downtown Miami</x:v>
      </x:c>
      <x:c r="G3" s="11" t="str">
        <x:v>Labor Day Weekend</x:v>
      </x:c>
      <x:c r="H3" s="11" t="str">
        <x:v>21+</x:v>
      </x:c>
      <x:c r="I3" s="18" t="str">
        <x:v>Official venue calendar</x:v>
      </x:c>
      <x:c r="J3" s="21" t="str">
        <x:v>Unassigned</x:v>
      </x:c>
      <x:c r="K3" s="21" t="str">
        <x:v>Awaiting Wingman inventory</x:v>
      </x:c>
      <x:c r="L3" s="12" t="n">
        <x:v>46265</x:v>
      </x:c>
      <x:c r="M3" s="13" t="str">
        <x:v>https://www.11miami.com/events</x:v>
      </x:c>
      <x:c r="N3" s="11" t="str">
        <x:v>Tickets; VIP table request</x:v>
      </x:c>
      <x:c r="O3" s="11" t="str">
        <x:v>Official event confirmed.</x:v>
      </x:c>
    </x:row>
    <x:row r="4" ht="31" customHeight="1">
      <x:c r="A4" s="11" t="str">
        <x:v>EVT-0003</x:v>
      </x:c>
      <x:c r="B4" s="11" t="str">
        <x:v>LDW ft K Gianni</x:v>
      </x:c>
      <x:c r="C4" s="11" t="str">
        <x:v>E11EVEN Miami</x:v>
      </x:c>
      <x:c r="D4" s="12" t="n">
        <x:v>46268</x:v>
      </x:c>
      <x:c r="E4" s="11" t="str">
        <x:v>Check source</x:v>
      </x:c>
      <x:c r="F4" s="11" t="str">
        <x:v>Downtown Miami</x:v>
      </x:c>
      <x:c r="G4" s="11" t="str">
        <x:v>Labor Day Weekend</x:v>
      </x:c>
      <x:c r="H4" s="11" t="str">
        <x:v>21+</x:v>
      </x:c>
      <x:c r="I4" s="18" t="str">
        <x:v>Official venue calendar</x:v>
      </x:c>
      <x:c r="J4" s="21" t="str">
        <x:v>Unassigned</x:v>
      </x:c>
      <x:c r="K4" s="21" t="str">
        <x:v>Awaiting Wingman inventory</x:v>
      </x:c>
      <x:c r="L4" s="12" t="n">
        <x:v>46265</x:v>
      </x:c>
      <x:c r="M4" s="13" t="str">
        <x:v>https://www.11miami.com/events</x:v>
      </x:c>
      <x:c r="N4" s="11" t="str">
        <x:v>Tickets; VIP table request</x:v>
      </x:c>
      <x:c r="O4" s="11" t="str">
        <x:v>Official event confirmed.</x:v>
      </x:c>
    </x:row>
    <x:row r="5" ht="31" customHeight="1">
      <x:c r="A5" s="11" t="str">
        <x:v>EVT-0004</x:v>
      </x:c>
      <x:c r="B5" s="11" t="str">
        <x:v>LDW ft Rick Ross</x:v>
      </x:c>
      <x:c r="C5" s="11" t="str">
        <x:v>E11EVEN Miami</x:v>
      </x:c>
      <x:c r="D5" s="12" t="n">
        <x:v>46269</x:v>
      </x:c>
      <x:c r="E5" s="11" t="str">
        <x:v>Check source</x:v>
      </x:c>
      <x:c r="F5" s="11" t="str">
        <x:v>Downtown Miami</x:v>
      </x:c>
      <x:c r="G5" s="11" t="str">
        <x:v>Hip-hop / LDW</x:v>
      </x:c>
      <x:c r="H5" s="11" t="str">
        <x:v>21+</x:v>
      </x:c>
      <x:c r="I5" s="18" t="str">
        <x:v>Official venue calendar</x:v>
      </x:c>
      <x:c r="J5" s="21" t="str">
        <x:v>Unassigned</x:v>
      </x:c>
      <x:c r="K5" s="21" t="str">
        <x:v>Awaiting Wingman inventory</x:v>
      </x:c>
      <x:c r="L5" s="12" t="n">
        <x:v>46265</x:v>
      </x:c>
      <x:c r="M5" s="13" t="str">
        <x:v>https://www.11miami.com/events</x:v>
      </x:c>
      <x:c r="N5" s="11" t="str">
        <x:v>Tickets; VIP table request</x:v>
      </x:c>
      <x:c r="O5" s="11" t="str">
        <x:v>Official event confirmed.</x:v>
      </x:c>
    </x:row>
    <x:row r="6" ht="31" customHeight="1">
      <x:c r="A6" s="11" t="str">
        <x:v>EVT-0005</x:v>
      </x:c>
      <x:c r="B6" s="11" t="str">
        <x:v>LDW ft 50 Cent</x:v>
      </x:c>
      <x:c r="C6" s="11" t="str">
        <x:v>E11EVEN Miami</x:v>
      </x:c>
      <x:c r="D6" s="12" t="n">
        <x:v>46270</x:v>
      </x:c>
      <x:c r="E6" s="11" t="str">
        <x:v>Check source</x:v>
      </x:c>
      <x:c r="F6" s="11" t="str">
        <x:v>Downtown Miami</x:v>
      </x:c>
      <x:c r="G6" s="11" t="str">
        <x:v>Hip-hop / LDW</x:v>
      </x:c>
      <x:c r="H6" s="11" t="str">
        <x:v>21+</x:v>
      </x:c>
      <x:c r="I6" s="18" t="str">
        <x:v>Official venue calendar</x:v>
      </x:c>
      <x:c r="J6" s="21" t="str">
        <x:v>Unassigned</x:v>
      </x:c>
      <x:c r="K6" s="21" t="str">
        <x:v>Awaiting Wingman inventory</x:v>
      </x:c>
      <x:c r="L6" s="12" t="n">
        <x:v>46265</x:v>
      </x:c>
      <x:c r="M6" s="13" t="str">
        <x:v>https://www.11miami.com/events</x:v>
      </x:c>
      <x:c r="N6" s="11" t="str">
        <x:v>Tickets; VIP table request</x:v>
      </x:c>
      <x:c r="O6" s="11" t="str">
        <x:v>Official event confirmed.</x:v>
      </x:c>
    </x:row>
    <x:row r="7" ht="31" customHeight="1">
      <x:c r="A7" s="11" t="str">
        <x:v>EVT-0006</x:v>
      </x:c>
      <x:c r="B7" s="11" t="str">
        <x:v>LDW ft Twinsick</x:v>
      </x:c>
      <x:c r="C7" s="11" t="str">
        <x:v>E11EVEN Miami</x:v>
      </x:c>
      <x:c r="D7" s="12" t="n">
        <x:v>46271</x:v>
      </x:c>
      <x:c r="E7" s="11" t="str">
        <x:v>Check source</x:v>
      </x:c>
      <x:c r="F7" s="11" t="str">
        <x:v>Downtown Miami</x:v>
      </x:c>
      <x:c r="G7" s="11" t="str">
        <x:v>Electronic / LDW</x:v>
      </x:c>
      <x:c r="H7" s="11" t="str">
        <x:v>21+</x:v>
      </x:c>
      <x:c r="I7" s="18" t="str">
        <x:v>Official venue calendar</x:v>
      </x:c>
      <x:c r="J7" s="21" t="str">
        <x:v>Unassigned</x:v>
      </x:c>
      <x:c r="K7" s="21" t="str">
        <x:v>Awaiting Wingman inventory</x:v>
      </x:c>
      <x:c r="L7" s="12" t="n">
        <x:v>46265</x:v>
      </x:c>
      <x:c r="M7" s="13" t="str">
        <x:v>https://www.11miami.com/events</x:v>
      </x:c>
      <x:c r="N7" s="11" t="str">
        <x:v>Tickets; VIP table request</x:v>
      </x:c>
      <x:c r="O7" s="11" t="str">
        <x:v>Official event confirmed.</x:v>
      </x:c>
    </x:row>
    <x:row r="8" ht="31" customHeight="1">
      <x:c r="A8" s="11" t="str">
        <x:v>EVT-0007</x:v>
      </x:c>
      <x:c r="B8" s="11" t="str">
        <x:v>Labor Day ft Damaged Goods</x:v>
      </x:c>
      <x:c r="C8" s="11" t="str">
        <x:v>E11EVEN Miami</x:v>
      </x:c>
      <x:c r="D8" s="12" t="n">
        <x:v>46272</x:v>
      </x:c>
      <x:c r="E8" s="11" t="str">
        <x:v>Check source</x:v>
      </x:c>
      <x:c r="F8" s="11" t="str">
        <x:v>Downtown Miami</x:v>
      </x:c>
      <x:c r="G8" s="11" t="str">
        <x:v>Labor Day</x:v>
      </x:c>
      <x:c r="H8" s="11" t="str">
        <x:v>21+</x:v>
      </x:c>
      <x:c r="I8" s="18" t="str">
        <x:v>Official venue calendar</x:v>
      </x:c>
      <x:c r="J8" s="21" t="str">
        <x:v>Unassigned</x:v>
      </x:c>
      <x:c r="K8" s="21" t="str">
        <x:v>Awaiting Wingman inventory</x:v>
      </x:c>
      <x:c r="L8" s="12" t="n">
        <x:v>46265</x:v>
      </x:c>
      <x:c r="M8" s="13" t="str">
        <x:v>https://www.11miami.com/events</x:v>
      </x:c>
      <x:c r="N8" s="11" t="str">
        <x:v>Tickets; VIP table request</x:v>
      </x:c>
      <x:c r="O8" s="11" t="str">
        <x:v>Official event confirmed.</x:v>
      </x:c>
    </x:row>
    <x:row r="9" ht="31" customHeight="1">
      <x:c r="A9" s="11" t="str">
        <x:v>EVT-0008</x:v>
      </x:c>
      <x:c r="B9" s="11" t="str">
        <x:v>Shift at E11EVEN</x:v>
      </x:c>
      <x:c r="C9" s="11" t="str">
        <x:v>E11EVEN Miami</x:v>
      </x:c>
      <x:c r="D9" s="12" t="n">
        <x:v>46276</x:v>
      </x:c>
      <x:c r="E9" s="11" t="str">
        <x:v>Check source</x:v>
      </x:c>
      <x:c r="F9" s="11" t="str">
        <x:v>Downtown Miami</x:v>
      </x:c>
      <x:c r="G9" s="11" t="str">
        <x:v>Nightclub</x:v>
      </x:c>
      <x:c r="H9" s="11" t="str">
        <x:v>21+</x:v>
      </x:c>
      <x:c r="I9" s="18" t="str">
        <x:v>Official venue calendar</x:v>
      </x:c>
      <x:c r="J9" s="21" t="str">
        <x:v>Unassigned</x:v>
      </x:c>
      <x:c r="K9" s="21" t="str">
        <x:v>Awaiting Wingman inventory</x:v>
      </x:c>
      <x:c r="L9" s="12" t="n">
        <x:v>46265</x:v>
      </x:c>
      <x:c r="M9" s="13" t="str">
        <x:v>https://www.11miami.com/events</x:v>
      </x:c>
      <x:c r="N9" s="11" t="str">
        <x:v>Tickets; VIP table request</x:v>
      </x:c>
      <x:c r="O9" s="11" t="str">
        <x:v>Official event confirmed.</x:v>
      </x:c>
    </x:row>
    <x:row r="10" ht="31" customHeight="1">
      <x:c r="A10" s="11" t="str">
        <x:v>EVT-0009</x:v>
      </x:c>
      <x:c r="B10" s="11" t="str">
        <x:v>Borgeous at E11EVEN</x:v>
      </x:c>
      <x:c r="C10" s="11" t="str">
        <x:v>E11EVEN Miami</x:v>
      </x:c>
      <x:c r="D10" s="12" t="n">
        <x:v>46277</x:v>
      </x:c>
      <x:c r="E10" s="11" t="str">
        <x:v>Check source</x:v>
      </x:c>
      <x:c r="F10" s="11" t="str">
        <x:v>Downtown Miami</x:v>
      </x:c>
      <x:c r="G10" s="11" t="str">
        <x:v>Electronic</x:v>
      </x:c>
      <x:c r="H10" s="11" t="str">
        <x:v>21+</x:v>
      </x:c>
      <x:c r="I10" s="18" t="str">
        <x:v>Official venue calendar</x:v>
      </x:c>
      <x:c r="J10" s="21" t="str">
        <x:v>Unassigned</x:v>
      </x:c>
      <x:c r="K10" s="21" t="str">
        <x:v>Awaiting Wingman inventory</x:v>
      </x:c>
      <x:c r="L10" s="12" t="n">
        <x:v>46265</x:v>
      </x:c>
      <x:c r="M10" s="13" t="str">
        <x:v>https://www.11miami.com/events</x:v>
      </x:c>
      <x:c r="N10" s="11" t="str">
        <x:v>Tickets; VIP table request</x:v>
      </x:c>
      <x:c r="O10" s="11" t="str">
        <x:v>Official event confirmed.</x:v>
      </x:c>
    </x:row>
    <x:row r="11" ht="31" customHeight="1">
      <x:c r="A11" s="11" t="str">
        <x:v>EVT-0010</x:v>
      </x:c>
      <x:c r="B11" s="11" t="str">
        <x:v>Vice at E11EVEN</x:v>
      </x:c>
      <x:c r="C11" s="11" t="str">
        <x:v>E11EVEN Miami</x:v>
      </x:c>
      <x:c r="D11" s="12" t="n">
        <x:v>46283</x:v>
      </x:c>
      <x:c r="E11" s="11" t="str">
        <x:v>Check source</x:v>
      </x:c>
      <x:c r="F11" s="11" t="str">
        <x:v>Downtown Miami</x:v>
      </x:c>
      <x:c r="G11" s="11" t="str">
        <x:v>Nightclub</x:v>
      </x:c>
      <x:c r="H11" s="11" t="str">
        <x:v>21+</x:v>
      </x:c>
      <x:c r="I11" s="18" t="str">
        <x:v>Official venue calendar</x:v>
      </x:c>
      <x:c r="J11" s="21" t="str">
        <x:v>Unassigned</x:v>
      </x:c>
      <x:c r="K11" s="21" t="str">
        <x:v>Awaiting Wingman inventory</x:v>
      </x:c>
      <x:c r="L11" s="12" t="n">
        <x:v>46265</x:v>
      </x:c>
      <x:c r="M11" s="13" t="str">
        <x:v>https://www.11miami.com/events</x:v>
      </x:c>
      <x:c r="N11" s="11" t="str">
        <x:v>Tickets; VIP table request</x:v>
      </x:c>
      <x:c r="O11" s="11" t="str">
        <x:v>Official event confirmed.</x:v>
      </x:c>
    </x:row>
    <x:row r="12" ht="31" customHeight="1">
      <x:c r="A12" s="11" t="str">
        <x:v>EVT-0011</x:v>
      </x:c>
      <x:c r="B12" s="11" t="str">
        <x:v>DJ Pee Wee at E11EVEN</x:v>
      </x:c>
      <x:c r="C12" s="11" t="str">
        <x:v>E11EVEN Miami</x:v>
      </x:c>
      <x:c r="D12" s="12" t="n">
        <x:v>46284</x:v>
      </x:c>
      <x:c r="E12" s="11" t="str">
        <x:v>Check source</x:v>
      </x:c>
      <x:c r="F12" s="11" t="str">
        <x:v>Downtown Miami</x:v>
      </x:c>
      <x:c r="G12" s="11" t="str">
        <x:v>Nightclub</x:v>
      </x:c>
      <x:c r="H12" s="11" t="str">
        <x:v>21+</x:v>
      </x:c>
      <x:c r="I12" s="18" t="str">
        <x:v>Official venue calendar</x:v>
      </x:c>
      <x:c r="J12" s="21" t="str">
        <x:v>Unassigned</x:v>
      </x:c>
      <x:c r="K12" s="21" t="str">
        <x:v>Awaiting Wingman inventory</x:v>
      </x:c>
      <x:c r="L12" s="12" t="n">
        <x:v>46265</x:v>
      </x:c>
      <x:c r="M12" s="13" t="str">
        <x:v>https://www.11miami.com/events</x:v>
      </x:c>
      <x:c r="N12" s="11" t="str">
        <x:v>Tickets; VIP table request</x:v>
      </x:c>
      <x:c r="O12" s="11" t="str">
        <x:v>Official event confirmed.</x:v>
      </x:c>
    </x:row>
    <x:row r="13" ht="31" customHeight="1">
      <x:c r="A13" s="11" t="str">
        <x:v>EVT-0012</x:v>
      </x:c>
      <x:c r="B13" s="11" t="str">
        <x:v>Afrojack at E11EVEN</x:v>
      </x:c>
      <x:c r="C13" s="11" t="str">
        <x:v>E11EVEN Miami</x:v>
      </x:c>
      <x:c r="D13" s="12" t="n">
        <x:v>46290</x:v>
      </x:c>
      <x:c r="E13" s="11" t="str">
        <x:v>Check source</x:v>
      </x:c>
      <x:c r="F13" s="11" t="str">
        <x:v>Downtown Miami</x:v>
      </x:c>
      <x:c r="G13" s="11" t="str">
        <x:v>Electronic</x:v>
      </x:c>
      <x:c r="H13" s="11" t="str">
        <x:v>21+</x:v>
      </x:c>
      <x:c r="I13" s="18" t="str">
        <x:v>Official venue calendar</x:v>
      </x:c>
      <x:c r="J13" s="21" t="str">
        <x:v>Unassigned</x:v>
      </x:c>
      <x:c r="K13" s="21" t="str">
        <x:v>Awaiting Wingman inventory</x:v>
      </x:c>
      <x:c r="L13" s="12" t="n">
        <x:v>46265</x:v>
      </x:c>
      <x:c r="M13" s="13" t="str">
        <x:v>https://www.11miami.com/events</x:v>
      </x:c>
      <x:c r="N13" s="11" t="str">
        <x:v>Tickets; VIP table request</x:v>
      </x:c>
      <x:c r="O13" s="11" t="str">
        <x:v>Official event confirmed.</x:v>
      </x:c>
    </x:row>
    <x:row r="14" ht="31" customHeight="1">
      <x:c r="A14" s="11" t="str">
        <x:v>EVT-0013</x:v>
      </x:c>
      <x:c r="B14" s="11" t="str">
        <x:v>Ruckus at E11EVEN</x:v>
      </x:c>
      <x:c r="C14" s="11" t="str">
        <x:v>E11EVEN Miami</x:v>
      </x:c>
      <x:c r="D14" s="12" t="n">
        <x:v>46291</x:v>
      </x:c>
      <x:c r="E14" s="11" t="str">
        <x:v>Check source</x:v>
      </x:c>
      <x:c r="F14" s="11" t="str">
        <x:v>Downtown Miami</x:v>
      </x:c>
      <x:c r="G14" s="11" t="str">
        <x:v>Nightclub</x:v>
      </x:c>
      <x:c r="H14" s="11" t="str">
        <x:v>21+</x:v>
      </x:c>
      <x:c r="I14" s="18" t="str">
        <x:v>Official venue calendar</x:v>
      </x:c>
      <x:c r="J14" s="21" t="str">
        <x:v>Unassigned</x:v>
      </x:c>
      <x:c r="K14" s="21" t="str">
        <x:v>Awaiting Wingman inventory</x:v>
      </x:c>
      <x:c r="L14" s="12" t="n">
        <x:v>46265</x:v>
      </x:c>
      <x:c r="M14" s="13" t="str">
        <x:v>https://www.11miami.com/events</x:v>
      </x:c>
      <x:c r="N14" s="11" t="str">
        <x:v>Tickets; VIP table request</x:v>
      </x:c>
      <x:c r="O14" s="11" t="str">
        <x:v>Official event confirmed.</x:v>
      </x:c>
    </x:row>
    <x:row r="15" ht="31" customHeight="1">
      <x:c r="A15" s="11" t="str">
        <x:v>EVT-0014</x:v>
      </x:c>
      <x:c r="B15" s="11" t="str">
        <x:v>Mentirosa Thursday</x:v>
      </x:c>
      <x:c r="C15" s="11" t="str">
        <x:v>LIV Nightclub</x:v>
      </x:c>
      <x:c r="D15" s="12" t="n">
        <x:v>46268</x:v>
      </x:c>
      <x:c r="E15" s="11" t="str">
        <x:v>11:30 PM</x:v>
      </x:c>
      <x:c r="F15" s="11" t="str">
        <x:v>Miami Beach</x:v>
      </x:c>
      <x:c r="G15" s="11" t="str">
        <x:v>Nightclub</x:v>
      </x:c>
      <x:c r="H15" s="11" t="str">
        <x:v>21+</x:v>
      </x:c>
      <x:c r="I15" s="18" t="str">
        <x:v>Official venue calendar</x:v>
      </x:c>
      <x:c r="J15" s="21" t="str">
        <x:v>Unassigned</x:v>
      </x:c>
      <x:c r="K15" s="21" t="str">
        <x:v>Awaiting Wingman inventory</x:v>
      </x:c>
      <x:c r="L15" s="12" t="n">
        <x:v>46265</x:v>
      </x:c>
      <x:c r="M15" s="13" t="str">
        <x:v>https://www.livnightclub.com/miami/events/</x:v>
      </x:c>
      <x:c r="N15" s="11" t="str">
        <x:v>Tickets; VIP tables</x:v>
      </x:c>
      <x:c r="O15" s="11" t="str">
        <x:v>Official event confirmed.</x:v>
      </x:c>
    </x:row>
    <x:row r="16" ht="31" customHeight="1">
      <x:c r="A16" s="11" t="str">
        <x:v>EVT-0015</x:v>
      </x:c>
      <x:c r="B16" s="11" t="str">
        <x:v>Fetty Wap</x:v>
      </x:c>
      <x:c r="C16" s="11" t="str">
        <x:v>LIV Nightclub</x:v>
      </x:c>
      <x:c r="D16" s="12" t="n">
        <x:v>46269</x:v>
      </x:c>
      <x:c r="E16" s="11" t="str">
        <x:v>11:30 PM</x:v>
      </x:c>
      <x:c r="F16" s="11" t="str">
        <x:v>Miami Beach</x:v>
      </x:c>
      <x:c r="G16" s="11" t="str">
        <x:v>Hip-hop</x:v>
      </x:c>
      <x:c r="H16" s="11" t="str">
        <x:v>21+</x:v>
      </x:c>
      <x:c r="I16" s="18" t="str">
        <x:v>Official venue calendar</x:v>
      </x:c>
      <x:c r="J16" s="21" t="str">
        <x:v>Unassigned</x:v>
      </x:c>
      <x:c r="K16" s="21" t="str">
        <x:v>Awaiting Wingman inventory</x:v>
      </x:c>
      <x:c r="L16" s="12" t="n">
        <x:v>46265</x:v>
      </x:c>
      <x:c r="M16" s="13" t="str">
        <x:v>https://www.livnightclub.com/miami/events/</x:v>
      </x:c>
      <x:c r="N16" s="11" t="str">
        <x:v>Tickets; VIP tables</x:v>
      </x:c>
      <x:c r="O16" s="11" t="str">
        <x:v>Official event confirmed.</x:v>
      </x:c>
    </x:row>
    <x:row r="17" ht="31" customHeight="1">
      <x:c r="A17" s="11" t="str">
        <x:v>EVT-0016</x:v>
      </x:c>
      <x:c r="B17" s="11" t="str">
        <x:v>Disco Lines</x:v>
      </x:c>
      <x:c r="C17" s="11" t="str">
        <x:v>LIV Nightclub</x:v>
      </x:c>
      <x:c r="D17" s="12" t="n">
        <x:v>46270</x:v>
      </x:c>
      <x:c r="E17" s="11" t="str">
        <x:v>11:30 PM</x:v>
      </x:c>
      <x:c r="F17" s="11" t="str">
        <x:v>Miami Beach</x:v>
      </x:c>
      <x:c r="G17" s="11" t="str">
        <x:v>Electronic</x:v>
      </x:c>
      <x:c r="H17" s="11" t="str">
        <x:v>21+</x:v>
      </x:c>
      <x:c r="I17" s="18" t="str">
        <x:v>Official venue event page</x:v>
      </x:c>
      <x:c r="J17" s="21" t="str">
        <x:v>Unassigned</x:v>
      </x:c>
      <x:c r="K17" s="21" t="str">
        <x:v>Awaiting Wingman inventory</x:v>
      </x:c>
      <x:c r="L17" s="12" t="n">
        <x:v>46265</x:v>
      </x:c>
      <x:c r="M17" s="13" t="str">
        <x:v>https://www.livnightclub.com/miami/event/EVE112156200020260905/disco-lines/</x:v>
      </x:c>
      <x:c r="N17" s="11" t="str">
        <x:v>Tickets; VIP tables</x:v>
      </x:c>
      <x:c r="O17" s="11" t="str">
        <x:v>Official event page confirms date, time and age.</x:v>
      </x:c>
    </x:row>
    <x:row r="18" ht="31" customHeight="1">
      <x:c r="A18" s="11" t="str">
        <x:v>EVT-0017</x:v>
      </x:c>
      <x:c r="B18" s="11" t="str">
        <x:v>Lil Baby</x:v>
      </x:c>
      <x:c r="C18" s="11" t="str">
        <x:v>LIV Nightclub</x:v>
      </x:c>
      <x:c r="D18" s="12" t="n">
        <x:v>46271</x:v>
      </x:c>
      <x:c r="E18" s="11" t="str">
        <x:v>11:30 PM</x:v>
      </x:c>
      <x:c r="F18" s="11" t="str">
        <x:v>Miami Beach</x:v>
      </x:c>
      <x:c r="G18" s="11" t="str">
        <x:v>Hip-hop</x:v>
      </x:c>
      <x:c r="H18" s="11" t="str">
        <x:v>21+</x:v>
      </x:c>
      <x:c r="I18" s="18" t="str">
        <x:v>Official venue calendar</x:v>
      </x:c>
      <x:c r="J18" s="21" t="str">
        <x:v>Unassigned</x:v>
      </x:c>
      <x:c r="K18" s="21" t="str">
        <x:v>Awaiting Wingman inventory</x:v>
      </x:c>
      <x:c r="L18" s="12" t="n">
        <x:v>46265</x:v>
      </x:c>
      <x:c r="M18" s="13" t="str">
        <x:v>https://www.livnightclub.com/miami/events/</x:v>
      </x:c>
      <x:c r="N18" s="11" t="str">
        <x:v>Tickets; VIP tables</x:v>
      </x:c>
      <x:c r="O18" s="11" t="str">
        <x:v>Official event confirmed.</x:v>
      </x:c>
    </x:row>
    <x:row r="19" ht="31" customHeight="1">
      <x:c r="A19" s="11" t="str">
        <x:v>EVT-0018</x:v>
      </x:c>
      <x:c r="B19" s="11" t="str">
        <x:v>Mentirosa Thursday</x:v>
      </x:c>
      <x:c r="C19" s="11" t="str">
        <x:v>LIV Nightclub</x:v>
      </x:c>
      <x:c r="D19" s="12" t="n">
        <x:v>46275</x:v>
      </x:c>
      <x:c r="E19" s="11" t="str">
        <x:v>11:30 PM</x:v>
      </x:c>
      <x:c r="F19" s="11" t="str">
        <x:v>Miami Beach</x:v>
      </x:c>
      <x:c r="G19" s="11" t="str">
        <x:v>Nightclub</x:v>
      </x:c>
      <x:c r="H19" s="11" t="str">
        <x:v>21+</x:v>
      </x:c>
      <x:c r="I19" s="18" t="str">
        <x:v>Official venue calendar</x:v>
      </x:c>
      <x:c r="J19" s="21" t="str">
        <x:v>Unassigned</x:v>
      </x:c>
      <x:c r="K19" s="21" t="str">
        <x:v>Awaiting Wingman inventory</x:v>
      </x:c>
      <x:c r="L19" s="12" t="n">
        <x:v>46265</x:v>
      </x:c>
      <x:c r="M19" s="13" t="str">
        <x:v>https://www.livnightclub.com/miami/events/</x:v>
      </x:c>
      <x:c r="N19" s="11" t="str">
        <x:v>Tickets; VIP tables</x:v>
      </x:c>
      <x:c r="O19" s="11" t="str">
        <x:v>Official event confirmed.</x:v>
      </x:c>
    </x:row>
    <x:row r="20" ht="31" customHeight="1">
      <x:c r="A20" s="11" t="str">
        <x:v>EVT-0019</x:v>
      </x:c>
      <x:c r="B20" s="11" t="str">
        <x:v>Soulja Boy</x:v>
      </x:c>
      <x:c r="C20" s="11" t="str">
        <x:v>LIV Nightclub</x:v>
      </x:c>
      <x:c r="D20" s="12" t="n">
        <x:v>46276</x:v>
      </x:c>
      <x:c r="E20" s="11" t="str">
        <x:v>11:30 PM</x:v>
      </x:c>
      <x:c r="F20" s="11" t="str">
        <x:v>Miami Beach</x:v>
      </x:c>
      <x:c r="G20" s="11" t="str">
        <x:v>Hip-hop</x:v>
      </x:c>
      <x:c r="H20" s="11" t="str">
        <x:v>21+</x:v>
      </x:c>
      <x:c r="I20" s="18" t="str">
        <x:v>Official venue calendar</x:v>
      </x:c>
      <x:c r="J20" s="21" t="str">
        <x:v>Unassigned</x:v>
      </x:c>
      <x:c r="K20" s="21" t="str">
        <x:v>Awaiting Wingman inventory</x:v>
      </x:c>
      <x:c r="L20" s="12" t="n">
        <x:v>46265</x:v>
      </x:c>
      <x:c r="M20" s="13" t="str">
        <x:v>https://www.livnightclub.com/miami/events/</x:v>
      </x:c>
      <x:c r="N20" s="11" t="str">
        <x:v>Tickets; VIP tables</x:v>
      </x:c>
      <x:c r="O20" s="11" t="str">
        <x:v>Official event confirmed.</x:v>
      </x:c>
    </x:row>
    <x:row r="21" ht="31" customHeight="1">
      <x:c r="A21" s="11" t="str">
        <x:v>EVT-0020</x:v>
      </x:c>
      <x:c r="B21" s="11" t="str">
        <x:v>LIV on Sunday</x:v>
      </x:c>
      <x:c r="C21" s="11" t="str">
        <x:v>LIV Nightclub</x:v>
      </x:c>
      <x:c r="D21" s="12" t="n">
        <x:v>46278</x:v>
      </x:c>
      <x:c r="E21" s="11" t="str">
        <x:v>11:30 PM</x:v>
      </x:c>
      <x:c r="F21" s="11" t="str">
        <x:v>Miami Beach</x:v>
      </x:c>
      <x:c r="G21" s="11" t="str">
        <x:v>Nightclub</x:v>
      </x:c>
      <x:c r="H21" s="11" t="str">
        <x:v>21+</x:v>
      </x:c>
      <x:c r="I21" s="18" t="str">
        <x:v>Official venue calendar</x:v>
      </x:c>
      <x:c r="J21" s="21" t="str">
        <x:v>Unassigned</x:v>
      </x:c>
      <x:c r="K21" s="21" t="str">
        <x:v>Awaiting Wingman inventory</x:v>
      </x:c>
      <x:c r="L21" s="12" t="n">
        <x:v>46265</x:v>
      </x:c>
      <x:c r="M21" s="13" t="str">
        <x:v>https://www.livnightclub.com/miami/events/</x:v>
      </x:c>
      <x:c r="N21" s="11" t="str">
        <x:v>Tickets; VIP tables</x:v>
      </x:c>
      <x:c r="O21" s="11" t="str">
        <x:v>Official event confirmed.</x:v>
      </x:c>
    </x:row>
    <x:row r="22" ht="31" customHeight="1">
      <x:c r="A22" s="11" t="str">
        <x:v>EVT-0021</x:v>
      </x:c>
      <x:c r="B22" s="11" t="str">
        <x:v>Korolova</x:v>
      </x:c>
      <x:c r="C22" s="11" t="str">
        <x:v>LIV Nightclub</x:v>
      </x:c>
      <x:c r="D22" s="12" t="n">
        <x:v>46283</x:v>
      </x:c>
      <x:c r="E22" s="11" t="str">
        <x:v>11:30 PM</x:v>
      </x:c>
      <x:c r="F22" s="11" t="str">
        <x:v>Miami Beach</x:v>
      </x:c>
      <x:c r="G22" s="11" t="str">
        <x:v>Electronic</x:v>
      </x:c>
      <x:c r="H22" s="11" t="str">
        <x:v>21+</x:v>
      </x:c>
      <x:c r="I22" s="18" t="str">
        <x:v>Official venue event page</x:v>
      </x:c>
      <x:c r="J22" s="21" t="str">
        <x:v>Unassigned</x:v>
      </x:c>
      <x:c r="K22" s="21" t="str">
        <x:v>Awaiting Wingman inventory</x:v>
      </x:c>
      <x:c r="L22" s="12" t="n">
        <x:v>46265</x:v>
      </x:c>
      <x:c r="M22" s="13" t="str">
        <x:v>https://www.livnightclub.com/miami/event/EVE112156200020260918/korolova/</x:v>
      </x:c>
      <x:c r="N22" s="11" t="str">
        <x:v>Tickets; VIP tables</x:v>
      </x:c>
      <x:c r="O22" s="11" t="str">
        <x:v>Official event page confirms date, time and age.</x:v>
      </x:c>
    </x:row>
    <x:row r="23" ht="31" customHeight="1">
      <x:c r="A23" s="11" t="str">
        <x:v>EVT-0022</x:v>
      </x:c>
      <x:c r="B23" s="11" t="str">
        <x:v>Matroda</x:v>
      </x:c>
      <x:c r="C23" s="11" t="str">
        <x:v>LIV Nightclub</x:v>
      </x:c>
      <x:c r="D23" s="12" t="n">
        <x:v>46284</x:v>
      </x:c>
      <x:c r="E23" s="11" t="str">
        <x:v>11:30 PM</x:v>
      </x:c>
      <x:c r="F23" s="11" t="str">
        <x:v>Miami Beach</x:v>
      </x:c>
      <x:c r="G23" s="11" t="str">
        <x:v>Electronic</x:v>
      </x:c>
      <x:c r="H23" s="11" t="str">
        <x:v>21+</x:v>
      </x:c>
      <x:c r="I23" s="18" t="str">
        <x:v>Official venue calendar</x:v>
      </x:c>
      <x:c r="J23" s="21" t="str">
        <x:v>Unassigned</x:v>
      </x:c>
      <x:c r="K23" s="21" t="str">
        <x:v>Awaiting Wingman inventory</x:v>
      </x:c>
      <x:c r="L23" s="12" t="n">
        <x:v>46265</x:v>
      </x:c>
      <x:c r="M23" s="13" t="str">
        <x:v>https://www.livnightclub.com/miami/events/</x:v>
      </x:c>
      <x:c r="N23" s="11" t="str">
        <x:v>Tickets; VIP tables</x:v>
      </x:c>
      <x:c r="O23" s="11" t="str">
        <x:v>Official event confirmed.</x:v>
      </x:c>
    </x:row>
    <x:row r="24" ht="31" customHeight="1">
      <x:c r="A24" s="11" t="str">
        <x:v>EVT-0023</x:v>
      </x:c>
      <x:c r="B24" s="11" t="str">
        <x:v>LIV on Sunday</x:v>
      </x:c>
      <x:c r="C24" s="11" t="str">
        <x:v>LIV Nightclub</x:v>
      </x:c>
      <x:c r="D24" s="12" t="n">
        <x:v>46285</x:v>
      </x:c>
      <x:c r="E24" s="11" t="str">
        <x:v>11:30 PM</x:v>
      </x:c>
      <x:c r="F24" s="11" t="str">
        <x:v>Miami Beach</x:v>
      </x:c>
      <x:c r="G24" s="11" t="str">
        <x:v>Nightclub</x:v>
      </x:c>
      <x:c r="H24" s="11" t="str">
        <x:v>21+</x:v>
      </x:c>
      <x:c r="I24" s="18" t="str">
        <x:v>Official venue calendar</x:v>
      </x:c>
      <x:c r="J24" s="21" t="str">
        <x:v>Unassigned</x:v>
      </x:c>
      <x:c r="K24" s="21" t="str">
        <x:v>Awaiting Wingman inventory</x:v>
      </x:c>
      <x:c r="L24" s="12" t="n">
        <x:v>46265</x:v>
      </x:c>
      <x:c r="M24" s="13" t="str">
        <x:v>https://www.livnightclub.com/miami/events/</x:v>
      </x:c>
      <x:c r="N24" s="11" t="str">
        <x:v>Tickets; VIP tables</x:v>
      </x:c>
      <x:c r="O24" s="11" t="str">
        <x:v>Official event confirmed.</x:v>
      </x:c>
    </x:row>
    <x:row r="25" ht="31" customHeight="1">
      <x:c r="A25" s="11" t="str">
        <x:v>EVT-0024</x:v>
      </x:c>
      <x:c r="B25" s="11" t="str">
        <x:v>Steve Aoki</x:v>
      </x:c>
      <x:c r="C25" s="11" t="str">
        <x:v>LIV Nightclub</x:v>
      </x:c>
      <x:c r="D25" s="12" t="n">
        <x:v>46290</x:v>
      </x:c>
      <x:c r="E25" s="11" t="str">
        <x:v>11:30 PM</x:v>
      </x:c>
      <x:c r="F25" s="11" t="str">
        <x:v>Miami Beach</x:v>
      </x:c>
      <x:c r="G25" s="11" t="str">
        <x:v>Electronic</x:v>
      </x:c>
      <x:c r="H25" s="11" t="str">
        <x:v>21+</x:v>
      </x:c>
      <x:c r="I25" s="18" t="str">
        <x:v>Official venue event page</x:v>
      </x:c>
      <x:c r="J25" s="21" t="str">
        <x:v>Unassigned</x:v>
      </x:c>
      <x:c r="K25" s="21" t="str">
        <x:v>Awaiting Wingman inventory</x:v>
      </x:c>
      <x:c r="L25" s="12" t="n">
        <x:v>46265</x:v>
      </x:c>
      <x:c r="M25" s="13" t="str">
        <x:v>https://www.livnightclub.com/miami/event/EVE112156200020260925/steve-aoki/</x:v>
      </x:c>
      <x:c r="N25" s="11" t="str">
        <x:v>Tickets; VIP tables</x:v>
      </x:c>
      <x:c r="O25" s="11" t="str">
        <x:v>Official event page confirms date and VIP tables.</x:v>
      </x:c>
    </x:row>
    <x:row r="26" ht="31" customHeight="1">
      <x:c r="A26" s="11" t="str">
        <x:v>EVT-0025</x:v>
      </x:c>
      <x:c r="B26" s="11" t="str">
        <x:v>Crankdat</x:v>
      </x:c>
      <x:c r="C26" s="11" t="str">
        <x:v>LIV Nightclub</x:v>
      </x:c>
      <x:c r="D26" s="12" t="n">
        <x:v>46291</x:v>
      </x:c>
      <x:c r="E26" s="11" t="str">
        <x:v>11:30 PM</x:v>
      </x:c>
      <x:c r="F26" s="11" t="str">
        <x:v>Miami Beach</x:v>
      </x:c>
      <x:c r="G26" s="11" t="str">
        <x:v>Electronic</x:v>
      </x:c>
      <x:c r="H26" s="11" t="str">
        <x:v>21+</x:v>
      </x:c>
      <x:c r="I26" s="18" t="str">
        <x:v>Official venue event page</x:v>
      </x:c>
      <x:c r="J26" s="21" t="str">
        <x:v>Unassigned</x:v>
      </x:c>
      <x:c r="K26" s="21" t="str">
        <x:v>Awaiting Wingman inventory</x:v>
      </x:c>
      <x:c r="L26" s="12" t="n">
        <x:v>46265</x:v>
      </x:c>
      <x:c r="M26" s="13" t="str">
        <x:v>https://www.livnightclub.com/miami/event/EVE112156200020260926/crankdat/</x:v>
      </x:c>
      <x:c r="N26" s="11" t="str">
        <x:v>Tickets; VIP tables</x:v>
      </x:c>
      <x:c r="O26" s="11" t="str">
        <x:v>Official event page confirms date, time and age.</x:v>
      </x:c>
    </x:row>
    <x:row r="27" ht="31" customHeight="1">
      <x:c r="A27" s="11" t="str">
        <x:v>EVT-0026</x:v>
      </x:c>
      <x:c r="B27" s="11" t="str">
        <x:v>LIV on Sunday</x:v>
      </x:c>
      <x:c r="C27" s="11" t="str">
        <x:v>LIV Nightclub</x:v>
      </x:c>
      <x:c r="D27" s="12" t="n">
        <x:v>46292</x:v>
      </x:c>
      <x:c r="E27" s="11" t="str">
        <x:v>11:30 PM</x:v>
      </x:c>
      <x:c r="F27" s="11" t="str">
        <x:v>Miami Beach</x:v>
      </x:c>
      <x:c r="G27" s="11" t="str">
        <x:v>Nightclub</x:v>
      </x:c>
      <x:c r="H27" s="11" t="str">
        <x:v>21+</x:v>
      </x:c>
      <x:c r="I27" s="18" t="str">
        <x:v>Official venue calendar</x:v>
      </x:c>
      <x:c r="J27" s="21" t="str">
        <x:v>Unassigned</x:v>
      </x:c>
      <x:c r="K27" s="21" t="str">
        <x:v>Awaiting Wingman inventory</x:v>
      </x:c>
      <x:c r="L27" s="12" t="n">
        <x:v>46265</x:v>
      </x:c>
      <x:c r="M27" s="13" t="str">
        <x:v>https://www.livnightclub.com/miami/events/</x:v>
      </x:c>
      <x:c r="N27" s="11" t="str">
        <x:v>Tickets; VIP tables</x:v>
      </x:c>
      <x:c r="O27" s="11" t="str">
        <x:v>Official event confirmed.</x:v>
      </x:c>
    </x:row>
    <x:row r="28" ht="31" customHeight="1">
      <x:c r="A28" s="11" t="str">
        <x:v>EVT-0027</x:v>
      </x:c>
      <x:c r="B28" s="11" t="str">
        <x:v>ISOxo &amp; Brutalismus 3000</x:v>
      </x:c>
      <x:c r="C28" s="11" t="str">
        <x:v>Factory Town</x:v>
      </x:c>
      <x:c r="D28" s="12" t="n">
        <x:v>46270</x:v>
      </x:c>
      <x:c r="E28" s="11" t="str">
        <x:v>Check ticket page</x:v>
      </x:c>
      <x:c r="F28" s="11" t="str">
        <x:v>Hialeah / Miami</x:v>
      </x:c>
      <x:c r="G28" s="11" t="str">
        <x:v>Electronic</x:v>
      </x:c>
      <x:c r="H28" s="11" t="str">
        <x:v>Check source</x:v>
      </x:c>
      <x:c r="I28" s="18" t="str">
        <x:v>Official ticketing partner</x:v>
      </x:c>
      <x:c r="J28" s="21" t="str">
        <x:v>Unassigned</x:v>
      </x:c>
      <x:c r="K28" s="21" t="str">
        <x:v>Awaiting Wingman inventory</x:v>
      </x:c>
      <x:c r="L28" s="12" t="n">
        <x:v>46265</x:v>
      </x:c>
      <x:c r="M28" s="13" t="str">
        <x:v>https://dice.fm/venue/factory-town-noal</x:v>
      </x:c>
      <x:c r="N28" s="11" t="str">
        <x:v>Tickets</x:v>
      </x:c>
      <x:c r="O28" s="11" t="str">
        <x:v>Event appears on Factory Town's DICE venue page; reconfirm before publication.</x:v>
      </x:c>
    </x:row>
    <x:row r="29" ht="31" customHeight="1">
      <x:c r="A29" s="11" t="str">
        <x:v>EVT-0028</x:v>
      </x:c>
      <x:c r="B29" s="11" t="str">
        <x:v>Sara Landry</x:v>
      </x:c>
      <x:c r="C29" s="11" t="str">
        <x:v>Factory Town</x:v>
      </x:c>
      <x:c r="D29" s="12" t="n">
        <x:v>46271</x:v>
      </x:c>
      <x:c r="E29" s="11" t="str">
        <x:v>10:00 PM</x:v>
      </x:c>
      <x:c r="F29" s="11" t="str">
        <x:v>Hialeah / Miami</x:v>
      </x:c>
      <x:c r="G29" s="11" t="str">
        <x:v>Electronic</x:v>
      </x:c>
      <x:c r="H29" s="11" t="str">
        <x:v>18+</x:v>
      </x:c>
      <x:c r="I29" s="18" t="str">
        <x:v>Official ticketing partner</x:v>
      </x:c>
      <x:c r="J29" s="21" t="str">
        <x:v>Unassigned</x:v>
      </x:c>
      <x:c r="K29" s="21" t="str">
        <x:v>Awaiting Wingman inventory</x:v>
      </x:c>
      <x:c r="L29" s="12" t="n">
        <x:v>46265</x:v>
      </x:c>
      <x:c r="M29" s="13" t="str">
        <x:v>https://dice.fm/event/q2pyby-sara-landry-6th-sep-factory-town-miami-tickets</x:v>
      </x:c>
      <x:c r="N29" s="11" t="str">
        <x:v>Tickets</x:v>
      </x:c>
      <x:c r="O29" s="11" t="str">
        <x:v>DICE event page confirms date, time, venue and age.</x:v>
      </x:c>
    </x:row>
    <x:row r="30" ht="31" customHeight="1">
      <x:c r="A30" s="11" t="str">
        <x:v>EVT-0029</x:v>
      </x:c>
      <x:c r="B30" s="11" t="str">
        <x:v>Kaskade: ORIGIN //</x:v>
      </x:c>
      <x:c r="C30" s="11" t="str">
        <x:v>Factory Town</x:v>
      </x:c>
      <x:c r="D30" s="12" t="n">
        <x:v>46283</x:v>
      </x:c>
      <x:c r="E30" s="11" t="str">
        <x:v>10:00 PM</x:v>
      </x:c>
      <x:c r="F30" s="11" t="str">
        <x:v>Hialeah / Miami</x:v>
      </x:c>
      <x:c r="G30" s="11" t="str">
        <x:v>Electronic</x:v>
      </x:c>
      <x:c r="H30" s="11" t="str">
        <x:v>18+</x:v>
      </x:c>
      <x:c r="I30" s="18" t="str">
        <x:v>Official venue event page</x:v>
      </x:c>
      <x:c r="J30" s="21" t="str">
        <x:v>Unassigned</x:v>
      </x:c>
      <x:c r="K30" s="21" t="str">
        <x:v>Awaiting Wingman inventory</x:v>
      </x:c>
      <x:c r="L30" s="12" t="n">
        <x:v>46265</x:v>
      </x:c>
      <x:c r="M30" s="13" t="str">
        <x:v>https://www.factorytown.com/event/kaskade-2026-09-18-miami-fl/</x:v>
      </x:c>
      <x:c r="N30" s="11" t="str">
        <x:v>Tickets</x:v>
      </x:c>
      <x:c r="O30" s="11" t="str">
        <x:v>Official venue page confirms 10 PM–5 AM and 18+.</x:v>
      </x:c>
    </x:row>
    <x:row r="31" ht="31" customHeight="1">
      <x:c r="A31" s="11" t="str">
        <x:v>EVT-0030</x:v>
      </x:c>
      <x:c r="B31" s="11" t="str">
        <x:v>BLOOM</x:v>
      </x:c>
      <x:c r="C31" s="11" t="str">
        <x:v>M2 Miami</x:v>
      </x:c>
      <x:c r="D31" s="12" t="n">
        <x:v>46269</x:v>
      </x:c>
      <x:c r="E31" s="11" t="str">
        <x:v>Check source</x:v>
      </x:c>
      <x:c r="F31" s="11" t="str">
        <x:v>Miami Beach</x:v>
      </x:c>
      <x:c r="G31" s="11" t="str">
        <x:v>Nightclub / dance</x:v>
      </x:c>
      <x:c r="H31" s="11" t="str">
        <x:v>Check source</x:v>
      </x:c>
      <x:c r="I31" s="18" t="str">
        <x:v>Official venue calendar</x:v>
      </x:c>
      <x:c r="J31" s="21" t="str">
        <x:v>Unassigned</x:v>
      </x:c>
      <x:c r="K31" s="21" t="str">
        <x:v>Awaiting Wingman inventory</x:v>
      </x:c>
      <x:c r="L31" s="12" t="n">
        <x:v>46265</x:v>
      </x:c>
      <x:c r="M31" s="13" t="str">
        <x:v>https://www.m2miami.com/</x:v>
      </x:c>
      <x:c r="N31" s="11" t="str">
        <x:v>Tickets; VIP tables</x:v>
      </x:c>
      <x:c r="O31" s="11" t="str">
        <x:v>Official venue calendar confirms event name and date.</x:v>
      </x:c>
    </x:row>
    <x:row r="32" ht="31" customHeight="1">
      <x:c r="A32" s="11" t="str">
        <x:v>EVT-0031</x:v>
      </x:c>
      <x:c r="B32" s="11" t="str">
        <x:v>Alegria</x:v>
      </x:c>
      <x:c r="C32" s="11" t="str">
        <x:v>M2 Miami</x:v>
      </x:c>
      <x:c r="D32" s="12" t="n">
        <x:v>46271</x:v>
      </x:c>
      <x:c r="E32" s="11" t="str">
        <x:v>Check source</x:v>
      </x:c>
      <x:c r="F32" s="11" t="str">
        <x:v>Miami Beach</x:v>
      </x:c>
      <x:c r="G32" s="11" t="str">
        <x:v>Nightclub / dance</x:v>
      </x:c>
      <x:c r="H32" s="11" t="str">
        <x:v>Check source</x:v>
      </x:c>
      <x:c r="I32" s="18" t="str">
        <x:v>Official venue calendar</x:v>
      </x:c>
      <x:c r="J32" s="21" t="str">
        <x:v>Unassigned</x:v>
      </x:c>
      <x:c r="K32" s="21" t="str">
        <x:v>Awaiting Wingman inventory</x:v>
      </x:c>
      <x:c r="L32" s="12" t="n">
        <x:v>46265</x:v>
      </x:c>
      <x:c r="M32" s="13" t="str">
        <x:v>https://www.m2miami.com/</x:v>
      </x:c>
      <x:c r="N32" s="11" t="str">
        <x:v>Tickets; VIP tables</x:v>
      </x:c>
      <x:c r="O32" s="11" t="str">
        <x:v>Official venue calendar confirms event name and date.</x:v>
      </x:c>
    </x:row>
    <x:row r="33" ht="31" customHeight="1">
      <x:c r="A33" s="11" t="str">
        <x:v>EVT-0032</x:v>
      </x:c>
      <x:c r="B33" s="11" t="str">
        <x:v>Industry Sessions</x:v>
      </x:c>
      <x:c r="C33" s="11" t="str">
        <x:v>M2 Miami</x:v>
      </x:c>
      <x:c r="D33" s="12" t="n">
        <x:v>46272</x:v>
      </x:c>
      <x:c r="E33" s="11" t="str">
        <x:v>Check source</x:v>
      </x:c>
      <x:c r="F33" s="11" t="str">
        <x:v>Miami Beach</x:v>
      </x:c>
      <x:c r="G33" s="11" t="str">
        <x:v>Nightclub / dance</x:v>
      </x:c>
      <x:c r="H33" s="11" t="str">
        <x:v>Check source</x:v>
      </x:c>
      <x:c r="I33" s="18" t="str">
        <x:v>Official venue calendar</x:v>
      </x:c>
      <x:c r="J33" s="21" t="str">
        <x:v>Unassigned</x:v>
      </x:c>
      <x:c r="K33" s="21" t="str">
        <x:v>Awaiting Wingman inventory</x:v>
      </x:c>
      <x:c r="L33" s="12" t="n">
        <x:v>46265</x:v>
      </x:c>
      <x:c r="M33" s="13" t="str">
        <x:v>https://www.m2miami.com/</x:v>
      </x:c>
      <x:c r="N33" s="11" t="str">
        <x:v>Tickets; VIP tables</x:v>
      </x:c>
      <x:c r="O33" s="11" t="str">
        <x:v>Official venue calendar confirms event name and date.</x:v>
      </x:c>
    </x:row>
    <x:row r="34" ht="31" customHeight="1">
      <x:c r="A34" s="11" t="str">
        <x:v>EVT-0033</x:v>
      </x:c>
      <x:c r="B34" s="11" t="str">
        <x:v>Friday Night in The Back Room</x:v>
      </x:c>
      <x:c r="C34" s="11" t="str">
        <x:v>M2 Miami</x:v>
      </x:c>
      <x:c r="D34" s="12" t="n">
        <x:v>46276</x:v>
      </x:c>
      <x:c r="E34" s="11" t="str">
        <x:v>Check source</x:v>
      </x:c>
      <x:c r="F34" s="11" t="str">
        <x:v>Miami Beach</x:v>
      </x:c>
      <x:c r="G34" s="11" t="str">
        <x:v>Nightclub / dance</x:v>
      </x:c>
      <x:c r="H34" s="11" t="str">
        <x:v>Check source</x:v>
      </x:c>
      <x:c r="I34" s="18" t="str">
        <x:v>Official venue calendar</x:v>
      </x:c>
      <x:c r="J34" s="21" t="str">
        <x:v>Unassigned</x:v>
      </x:c>
      <x:c r="K34" s="21" t="str">
        <x:v>Awaiting Wingman inventory</x:v>
      </x:c>
      <x:c r="L34" s="12" t="n">
        <x:v>46265</x:v>
      </x:c>
      <x:c r="M34" s="13" t="str">
        <x:v>https://www.m2miami.com/</x:v>
      </x:c>
      <x:c r="N34" s="11" t="str">
        <x:v>Tickets; VIP tables</x:v>
      </x:c>
      <x:c r="O34" s="11" t="str">
        <x:v>Official venue calendar confirms event name and date.</x:v>
      </x:c>
    </x:row>
    <x:row r="35" ht="31" customHeight="1">
      <x:c r="A35" s="14" t="str">
        <x:v>EVT-0034</x:v>
      </x:c>
      <x:c r="B35" s="14" t="str">
        <x:v>Daxson</x:v>
      </x:c>
      <x:c r="C35" s="14" t="str">
        <x:v>M2 Miami</x:v>
      </x:c>
      <x:c r="D35" s="15" t="n">
        <x:v>46277</x:v>
      </x:c>
      <x:c r="E35" s="14" t="str">
        <x:v>Check source</x:v>
      </x:c>
      <x:c r="F35" s="14" t="str">
        <x:v>Miami Beach</x:v>
      </x:c>
      <x:c r="G35" s="14" t="str">
        <x:v>Electronic</x:v>
      </x:c>
      <x:c r="H35" s="14" t="str">
        <x:v>Check source</x:v>
      </x:c>
      <x:c r="I35" s="19" t="str">
        <x:v>Official venue calendar</x:v>
      </x:c>
      <x:c r="J35" s="22" t="str">
        <x:v>Unassigned</x:v>
      </x:c>
      <x:c r="K35" s="22" t="str">
        <x:v>Awaiting Wingman inventory</x:v>
      </x:c>
      <x:c r="L35" s="15" t="n">
        <x:v>46265</x:v>
      </x:c>
      <x:c r="M35" s="16" t="str">
        <x:v>https://www.m2miami.com/</x:v>
      </x:c>
      <x:c r="N35" s="14" t="str">
        <x:v>Tickets; VIP tables</x:v>
      </x:c>
      <x:c r="O35" s="14" t="str">
        <x:v>Official venue calendar confirms event name and date.</x:v>
      </x:c>
    </x:row>
  </x:sheetData>
  <x:dataValidations count="2">
    <x:dataValidation type="list" sqref="K2:K200">
      <x:formula1>"Awaiting Wingman inventory,Bookable,Paused,Cancelled"</x:formula1>
    </x:dataValidation>
    <x:dataValidation type="list" sqref="J2:J200">
      <x:formula1>"Unassigned,Candidate assigned,Verified Wingman assigned"</x:formula1>
    </x:dataValidation>
  </x:dataValidations>
  <x:pageMargins left="0.7" right="0.7" top="0.75" bottom="0.75" header="0.3" footer="0.3"/>
  <x:tableParts count="1">
    <x:tablePart xmlns:r="http://schemas.openxmlformats.org/officeDocument/2006/relationships" r:id="R7353f1a6dd314a7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26" hidden="0" customWidth="1"/>
    <x:col min="3" max="3" width="24" hidden="0" customWidth="1"/>
    <x:col min="4" max="4" width="42" hidden="0" customWidth="1"/>
    <x:col min="5" max="5" width="34" hidden="0" customWidth="1"/>
    <x:col min="6" max="6" width="28" hidden="0" customWidth="1"/>
    <x:col min="7" max="7" width="16" hidden="0" customWidth="1"/>
    <x:col min="8" max="8" width="16" hidden="0" customWidth="1"/>
    <x:col min="9" max="9" width="23" hidden="0" customWidth="1"/>
    <x:col min="10" max="10" width="17" hidden="0" customWidth="1"/>
    <x:col min="11" max="11" width="20" hidden="0" customWidth="1"/>
    <x:col min="12" max="12" width="17" hidden="0" customWidth="1"/>
    <x:col min="13" max="13" width="13" hidden="0" customWidth="1"/>
    <x:col min="14" max="14" width="44" hidden="0" customWidth="1"/>
    <x:col min="15" max="15" width="48" hidden="0" customWidth="1"/>
  </x:cols>
  <x:sheetData>
    <x:row r="1" ht="40" customHeight="1">
      <x:c r="A1" s="5" t="str">
        <x:v>Lead ID</x:v>
      </x:c>
      <x:c r="B1" s="5" t="str">
        <x:v>Organization / Person</x:v>
      </x:c>
      <x:c r="C1" s="5" t="str">
        <x:v>Lead Type</x:v>
      </x:c>
      <x:c r="D1" s="5" t="str">
        <x:v>Public Source</x:v>
      </x:c>
      <x:c r="E1" s="5" t="str">
        <x:v>Public Contact Method</x:v>
      </x:c>
      <x:c r="F1" s="5" t="str">
        <x:v>Likely Coverage</x:v>
      </x:c>
      <x:c r="G1" s="5" t="str">
        <x:v>Profile Consent</x:v>
      </x:c>
      <x:c r="H1" s="5" t="str">
        <x:v>Identity Check</x:v>
      </x:c>
      <x:c r="I1" s="5" t="str">
        <x:v>Venue Authority Evidence</x:v>
      </x:c>
      <x:c r="J1" s="5" t="str">
        <x:v>Agreement Signed</x:v>
      </x:c>
      <x:c r="K1" s="5" t="str">
        <x:v>Verification Status</x:v>
      </x:c>
      <x:c r="L1" s="5" t="str">
        <x:v>Production Visible</x:v>
      </x:c>
      <x:c r="M1" s="5" t="str">
        <x:v>Owner</x:v>
      </x:c>
      <x:c r="N1" s="5" t="str">
        <x:v>Next Action</x:v>
      </x:c>
      <x:c r="O1" s="5" t="str">
        <x:v>Internal Notes</x:v>
      </x:c>
    </x:row>
    <x:row r="2" ht="42" customHeight="1">
      <x:c r="A2" s="8" t="str">
        <x:v>WM-LEAD-001</x:v>
      </x:c>
      <x:c r="B2" s="8" t="str">
        <x:v>E11EVEN VIP Services</x:v>
      </x:c>
      <x:c r="C2" s="8" t="str">
        <x:v>Venue VIP team</x:v>
      </x:c>
      <x:c r="D2" s="8" t="str">
        <x:v>https://www.11miami.com/table-reservations</x:v>
      </x:c>
      <x:c r="E2" s="8" t="str">
        <x:v>tables@11miami.com | 305-829-2911</x:v>
      </x:c>
      <x:c r="F2" s="8" t="str">
        <x:v>E11EVEN tables and VIP service</x:v>
      </x:c>
      <x:c r="G2" s="20" t="str">
        <x:v>No</x:v>
      </x:c>
      <x:c r="H2" s="20" t="str">
        <x:v>Not started</x:v>
      </x:c>
      <x:c r="I2" s="20" t="str">
        <x:v>Not requested</x:v>
      </x:c>
      <x:c r="J2" s="20" t="str">
        <x:v>No</x:v>
      </x:c>
      <x:c r="K2" s="20" t="str">
        <x:v>Not contacted</x:v>
      </x:c>
      <x:c r="L2" s="20" t="str">
        <x:v>No</x:v>
      </x:c>
      <x:c r="M2" s="8" t="str">
        <x:v>Avneet</x:v>
      </x:c>
      <x:c r="N2" s="8" t="str">
        <x:v>Request a partnership call and authorized host introductions</x:v>
      </x:c>
      <x:c r="O2" s="8" t="str">
        <x:v>Real organization; not yet a Wingman partner.</x:v>
      </x:c>
    </x:row>
    <x:row r="3" ht="42" customHeight="1">
      <x:c r="A3" s="11" t="str">
        <x:v>WM-LEAD-002</x:v>
      </x:c>
      <x:c r="B3" s="11" t="str">
        <x:v>LIV Miami VIP / Events Team</x:v>
      </x:c>
      <x:c r="C3" s="11" t="str">
        <x:v>Venue VIP team</x:v>
      </x:c>
      <x:c r="D3" s="11" t="str">
        <x:v>https://www.livnightclub.com/miami/faq/</x:v>
      </x:c>
      <x:c r="E3" s="11" t="str">
        <x:v>Official venue contact and booking pages</x:v>
      </x:c>
      <x:c r="F3" s="11" t="str">
        <x:v>LIV tickets and VIP tables</x:v>
      </x:c>
      <x:c r="G3" s="21" t="str">
        <x:v>No</x:v>
      </x:c>
      <x:c r="H3" s="21" t="str">
        <x:v>Not started</x:v>
      </x:c>
      <x:c r="I3" s="21" t="str">
        <x:v>Not requested</x:v>
      </x:c>
      <x:c r="J3" s="21" t="str">
        <x:v>No</x:v>
      </x:c>
      <x:c r="K3" s="21" t="str">
        <x:v>Not contacted</x:v>
      </x:c>
      <x:c r="L3" s="21" t="str">
        <x:v>No</x:v>
      </x:c>
      <x:c r="M3" s="11" t="str">
        <x:v>Avneet</x:v>
      </x:c>
      <x:c r="N3" s="11" t="str">
        <x:v>Request partnership contact and approved inventory process</x:v>
      </x:c>
      <x:c r="O3" s="11" t="str">
        <x:v>Do not rely on older third-party promoter details.</x:v>
      </x:c>
    </x:row>
    <x:row r="4" ht="42" customHeight="1">
      <x:c r="A4" s="11" t="str">
        <x:v>WM-LEAD-003</x:v>
      </x:c>
      <x:c r="B4" s="11" t="str">
        <x:v>Club Space Partnerships</x:v>
      </x:c>
      <x:c r="C4" s="11" t="str">
        <x:v>Venue partnership team</x:v>
      </x:c>
      <x:c r="D4" s="11" t="str">
        <x:v>https://www.clubspace.com/clubshows</x:v>
      </x:c>
      <x:c r="E4" s="11" t="str">
        <x:v>partnerships@clubspace.com</x:v>
      </x:c>
      <x:c r="F4" s="11" t="str">
        <x:v>Club Space and related shows</x:v>
      </x:c>
      <x:c r="G4" s="21" t="str">
        <x:v>No</x:v>
      </x:c>
      <x:c r="H4" s="21" t="str">
        <x:v>Not started</x:v>
      </x:c>
      <x:c r="I4" s="21" t="str">
        <x:v>Not requested</x:v>
      </x:c>
      <x:c r="J4" s="21" t="str">
        <x:v>No</x:v>
      </x:c>
      <x:c r="K4" s="21" t="str">
        <x:v>Not contacted</x:v>
      </x:c>
      <x:c r="L4" s="21" t="str">
        <x:v>No</x:v>
      </x:c>
      <x:c r="M4" s="11" t="str">
        <x:v>Avneet</x:v>
      </x:c>
      <x:c r="N4" s="11" t="str">
        <x:v>Ask for partner inventory and authorized host referral</x:v>
      </x:c>
      <x:c r="O4" s="11" t="str">
        <x:v>Venue lead; not an individual Wingman.</x:v>
      </x:c>
    </x:row>
    <x:row r="5" ht="42" customHeight="1">
      <x:c r="A5" s="11" t="str">
        <x:v>WM-LEAD-004</x:v>
      </x:c>
      <x:c r="B5" s="11" t="str">
        <x:v>M2 Miami VIP Team</x:v>
      </x:c>
      <x:c r="C5" s="11" t="str">
        <x:v>Venue VIP team</x:v>
      </x:c>
      <x:c r="D5" s="11" t="str">
        <x:v>https://www.m2miami.com/</x:v>
      </x:c>
      <x:c r="E5" s="11" t="str">
        <x:v>Official venue website</x:v>
      </x:c>
      <x:c r="F5" s="11" t="str">
        <x:v>M2 events and VIP tables</x:v>
      </x:c>
      <x:c r="G5" s="21" t="str">
        <x:v>No</x:v>
      </x:c>
      <x:c r="H5" s="21" t="str">
        <x:v>Not started</x:v>
      </x:c>
      <x:c r="I5" s="21" t="str">
        <x:v>Not requested</x:v>
      </x:c>
      <x:c r="J5" s="21" t="str">
        <x:v>No</x:v>
      </x:c>
      <x:c r="K5" s="21" t="str">
        <x:v>Not contacted</x:v>
      </x:c>
      <x:c r="L5" s="21" t="str">
        <x:v>No</x:v>
      </x:c>
      <x:c r="M5" s="11" t="str">
        <x:v>Avneet</x:v>
      </x:c>
      <x:c r="N5" s="11" t="str">
        <x:v>Request an authorized VIP host contact</x:v>
      </x:c>
      <x:c r="O5" s="11" t="str">
        <x:v>Venue lead; no consent or inventory yet.</x:v>
      </x:c>
    </x:row>
    <x:row r="6" ht="42" customHeight="1">
      <x:c r="A6" s="11" t="str">
        <x:v>WM-LEAD-005</x:v>
      </x:c>
      <x:c r="B6" s="11" t="str">
        <x:v>Factory Town Special Events</x:v>
      </x:c>
      <x:c r="C6" s="11" t="str">
        <x:v>Venue partnership team</x:v>
      </x:c>
      <x:c r="D6" s="11" t="str">
        <x:v>https://www.factorytown.com/</x:v>
      </x:c>
      <x:c r="E6" s="11" t="str">
        <x:v>Official venue special-events contact</x:v>
      </x:c>
      <x:c r="F6" s="11" t="str">
        <x:v>Factory Town events</x:v>
      </x:c>
      <x:c r="G6" s="21" t="str">
        <x:v>No</x:v>
      </x:c>
      <x:c r="H6" s="21" t="str">
        <x:v>Not started</x:v>
      </x:c>
      <x:c r="I6" s="21" t="str">
        <x:v>Not requested</x:v>
      </x:c>
      <x:c r="J6" s="21" t="str">
        <x:v>No</x:v>
      </x:c>
      <x:c r="K6" s="21" t="str">
        <x:v>Not contacted</x:v>
      </x:c>
      <x:c r="L6" s="21" t="str">
        <x:v>No</x:v>
      </x:c>
      <x:c r="M6" s="11" t="str">
        <x:v>Avneet</x:v>
      </x:c>
      <x:c r="N6" s="11" t="str">
        <x:v>Ask for approved event and hospitality contact</x:v>
      </x:c>
      <x:c r="O6" s="11" t="str">
        <x:v>Venue lead; tickets do not equal Wingman inventory.</x:v>
      </x:c>
    </x:row>
    <x:row r="7" ht="42" customHeight="1">
      <x:c r="A7" s="11" t="str">
        <x:v>WM-LEAD-006</x:v>
      </x:c>
      <x:c r="B7" s="11" t="str">
        <x:v>VIP South Beach</x:v>
      </x:c>
      <x:c r="C7" s="11" t="str">
        <x:v>Nightlife reservations business</x:v>
      </x:c>
      <x:c r="D7" s="11" t="str">
        <x:v>https://www.vipsouthbeach.com/south-beach-miami-nightclub-promoters-reservations/</x:v>
      </x:c>
      <x:c r="E7" s="11" t="str">
        <x:v>info@vipsouthbeach.com | 305-804-5071</x:v>
      </x:c>
      <x:c r="F7" s="11" t="str">
        <x:v>South Beach nightlife reservations</x:v>
      </x:c>
      <x:c r="G7" s="21" t="str">
        <x:v>No</x:v>
      </x:c>
      <x:c r="H7" s="21" t="str">
        <x:v>Not started</x:v>
      </x:c>
      <x:c r="I7" s="21" t="str">
        <x:v>Not requested</x:v>
      </x:c>
      <x:c r="J7" s="21" t="str">
        <x:v>No</x:v>
      </x:c>
      <x:c r="K7" s="21" t="str">
        <x:v>Not contacted</x:v>
      </x:c>
      <x:c r="L7" s="21" t="str">
        <x:v>No</x:v>
      </x:c>
      <x:c r="M7" s="11" t="str">
        <x:v>Avneet</x:v>
      </x:c>
      <x:c r="N7" s="11" t="str">
        <x:v>Invite business owner or authorized hosts to apply</x:v>
      </x:c>
      <x:c r="O7" s="11" t="str">
        <x:v>Public business contact; verify legal entity and venue authority.</x:v>
      </x:c>
    </x:row>
    <x:row r="8" ht="42" customHeight="1">
      <x:c r="A8" s="11" t="str">
        <x:v>WM-LEAD-007</x:v>
      </x:c>
      <x:c r="B8" s="11" t="str">
        <x:v>Best Miami Clubs</x:v>
      </x:c>
      <x:c r="C8" s="11" t="str">
        <x:v>VIP reservations business</x:v>
      </x:c>
      <x:c r="D8" s="11" t="str">
        <x:v>https://www.bestmiamiclubs.com/contact</x:v>
      </x:c>
      <x:c r="E8" s="11" t="str">
        <x:v>tables@bestmiamiclubs.com | 305-980-9556</x:v>
      </x:c>
      <x:c r="F8" s="11" t="str">
        <x:v>Miami Beach tables</x:v>
      </x:c>
      <x:c r="G8" s="21" t="str">
        <x:v>No</x:v>
      </x:c>
      <x:c r="H8" s="21" t="str">
        <x:v>Not started</x:v>
      </x:c>
      <x:c r="I8" s="21" t="str">
        <x:v>Not requested</x:v>
      </x:c>
      <x:c r="J8" s="21" t="str">
        <x:v>No</x:v>
      </x:c>
      <x:c r="K8" s="21" t="str">
        <x:v>Not contacted</x:v>
      </x:c>
      <x:c r="L8" s="21" t="str">
        <x:v>No</x:v>
      </x:c>
      <x:c r="M8" s="11" t="str">
        <x:v>Avneet</x:v>
      </x:c>
      <x:c r="N8" s="11" t="str">
        <x:v>Invite an authorized representative to apply</x:v>
      </x:c>
      <x:c r="O8" s="11" t="str">
        <x:v>Public business contact; claims require verification.</x:v>
      </x:c>
    </x:row>
    <x:row r="9" ht="42" customHeight="1">
      <x:c r="A9" s="11" t="str">
        <x:v>WM-LEAD-008</x:v>
      </x:c>
      <x:c r="B9" s="11" t="str">
        <x:v>Azul Privé</x:v>
      </x:c>
      <x:c r="C9" s="11" t="str">
        <x:v>Luxury concierge business</x:v>
      </x:c>
      <x:c r="D9" s="11" t="str">
        <x:v>https://azulprive.com/miami-nightlife-vip</x:v>
      </x:c>
      <x:c r="E9" s="11" t="str">
        <x:v>Official website contact</x:v>
      </x:c>
      <x:c r="F9" s="11" t="str">
        <x:v>LIV, E11EVEN and other Miami VIP requests</x:v>
      </x:c>
      <x:c r="G9" s="21" t="str">
        <x:v>No</x:v>
      </x:c>
      <x:c r="H9" s="21" t="str">
        <x:v>Not started</x:v>
      </x:c>
      <x:c r="I9" s="21" t="str">
        <x:v>Not requested</x:v>
      </x:c>
      <x:c r="J9" s="21" t="str">
        <x:v>No</x:v>
      </x:c>
      <x:c r="K9" s="21" t="str">
        <x:v>Not contacted</x:v>
      </x:c>
      <x:c r="L9" s="21" t="str">
        <x:v>No</x:v>
      </x:c>
      <x:c r="M9" s="11" t="str">
        <x:v>Avneet</x:v>
      </x:c>
      <x:c r="N9" s="11" t="str">
        <x:v>Request partnership and supporting venue authority</x:v>
      </x:c>
      <x:c r="O9" s="11" t="str">
        <x:v>Public concierge business; advertised access is not independently verified.</x:v>
      </x:c>
    </x:row>
    <x:row r="10" ht="42" customHeight="1">
      <x:c r="A10" s="11" t="str">
        <x:v>WM-LEAD-009</x:v>
      </x:c>
      <x:c r="B10" s="11" t="str">
        <x:v>Miami Promoter DK</x:v>
      </x:c>
      <x:c r="C10" s="11" t="str">
        <x:v>Independent public host lead</x:v>
      </x:c>
      <x:c r="D10" s="11" t="str">
        <x:v>https://www.instagram.com/miamipromoter_dk/</x:v>
      </x:c>
      <x:c r="E10" s="11" t="str">
        <x:v>Public Instagram profile</x:v>
      </x:c>
      <x:c r="F10" s="11" t="str">
        <x:v>Guest lists and table reservations</x:v>
      </x:c>
      <x:c r="G10" s="21" t="str">
        <x:v>No</x:v>
      </x:c>
      <x:c r="H10" s="21" t="str">
        <x:v>Not started</x:v>
      </x:c>
      <x:c r="I10" s="21" t="str">
        <x:v>Not requested</x:v>
      </x:c>
      <x:c r="J10" s="21" t="str">
        <x:v>No</x:v>
      </x:c>
      <x:c r="K10" s="21" t="str">
        <x:v>Not contacted</x:v>
      </x:c>
      <x:c r="L10" s="21" t="str">
        <x:v>No</x:v>
      </x:c>
      <x:c r="M10" s="11" t="str">
        <x:v>Avneet</x:v>
      </x:c>
      <x:c r="N10" s="11" t="str">
        <x:v>Send application link; verify identity and venue relationships</x:v>
      </x:c>
      <x:c r="O10" s="11" t="str">
        <x:v>Do not copy profile photos or publish without written consent.</x:v>
      </x:c>
    </x:row>
    <x:row r="11" ht="42" customHeight="1">
      <x:c r="A11" s="14" t="str">
        <x:v>WM-LEAD-010</x:v>
      </x:c>
      <x:c r="B11" s="14" t="str">
        <x:v>Promo James</x:v>
      </x:c>
      <x:c r="C11" s="14" t="str">
        <x:v>Independent public host lead</x:v>
      </x:c>
      <x:c r="D11" s="14" t="str">
        <x:v>https://www.instagram.com/promojames/</x:v>
      </x:c>
      <x:c r="E11" s="14" t="str">
        <x:v>Public Instagram profile</x:v>
      </x:c>
      <x:c r="F11" s="14" t="str">
        <x:v>Miami experience and day-club promotion</x:v>
      </x:c>
      <x:c r="G11" s="22" t="str">
        <x:v>No</x:v>
      </x:c>
      <x:c r="H11" s="22" t="str">
        <x:v>Not started</x:v>
      </x:c>
      <x:c r="I11" s="22" t="str">
        <x:v>Not requested</x:v>
      </x:c>
      <x:c r="J11" s="22" t="str">
        <x:v>No</x:v>
      </x:c>
      <x:c r="K11" s="22" t="str">
        <x:v>Not contacted</x:v>
      </x:c>
      <x:c r="L11" s="22" t="str">
        <x:v>No</x:v>
      </x:c>
      <x:c r="M11" s="14" t="str">
        <x:v>Avneet</x:v>
      </x:c>
      <x:c r="N11" s="14" t="str">
        <x:v>Send application link; verify identity and venue relationships</x:v>
      </x:c>
      <x:c r="O11" s="14" t="str">
        <x:v>Do not copy profile photos or publish without written consent.</x:v>
      </x:c>
    </x:row>
  </x:sheetData>
  <x:dataValidations count="6">
    <x:dataValidation type="list" sqref="G2:G200">
      <x:formula1>"No,Requested,Written consent received"</x:formula1>
    </x:dataValidation>
    <x:dataValidation type="list" sqref="H2:H200">
      <x:formula1>"Not started,Pending,Passed,Failed"</x:formula1>
    </x:dataValidation>
    <x:dataValidation type="list" sqref="I2:I200">
      <x:formula1>"Not requested,Pending,Approved,Rejected"</x:formula1>
    </x:dataValidation>
    <x:dataValidation type="list" sqref="J2:J200">
      <x:formula1>"No,Sent,Yes"</x:formula1>
    </x:dataValidation>
    <x:dataValidation type="list" sqref="K2:K200">
      <x:formula1>"Not contacted,Contacted,Applied,Pending review,Verified,Rejected,Paused"</x:formula1>
    </x:dataValidation>
    <x:dataValidation type="list" sqref="L2:L200">
      <x:formula1>"No,Yes"</x:formula1>
    </x:dataValidation>
  </x:dataValidations>
  <x:pageMargins left="0.7" right="0.7" top="0.75" bottom="0.75" header="0.3" footer="0.3"/>
  <x:tableParts count="1">
    <x:tablePart xmlns:r="http://schemas.openxmlformats.org/officeDocument/2006/relationships" r:id="R310ebae84c5f46b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7" hidden="0" customWidth="1"/>
    <x:col min="2" max="2" width="35" hidden="0" customWidth="1"/>
    <x:col min="3" max="3" width="44" hidden="0" customWidth="1"/>
    <x:col min="4" max="4" width="15" hidden="0" customWidth="1"/>
    <x:col min="5" max="5" width="14" hidden="0" customWidth="1"/>
    <x:col min="6" max="6" width="16" hidden="0" customWidth="1"/>
    <x:col min="7" max="7" width="18" hidden="0" customWidth="1"/>
    <x:col min="8" max="8" width="52" hidden="0" customWidth="1"/>
  </x:cols>
  <x:sheetData>
    <x:row r="1" ht="36" customHeight="1">
      <x:c r="A1" s="60" t="str">
        <x:v>Gate</x:v>
      </x:c>
      <x:c r="B1" s="60" t="str">
        <x:v>Requirement</x:v>
      </x:c>
      <x:c r="C1" s="60" t="str">
        <x:v>Evidence Required</x:v>
      </x:c>
      <x:c r="D1" s="60" t="str">
        <x:v>Public Field?</x:v>
      </x:c>
      <x:c r="E1" s="60" t="str">
        <x:v>Blocking?</x:v>
      </x:c>
      <x:c r="F1" s="60" t="str">
        <x:v>Owner</x:v>
      </x:c>
      <x:c r="G1" s="60" t="str">
        <x:v>Status</x:v>
      </x:c>
      <x:c r="H1" s="60" t="str">
        <x:v>Notes</x:v>
      </x:c>
    </x:row>
    <x:row r="2" ht="38" customHeight="1">
      <x:c r="A2" s="8" t="str">
        <x:v>Consent</x:v>
      </x:c>
      <x:c r="B2" s="8" t="str">
        <x:v>Written permission to create and display profile</x:v>
      </x:c>
      <x:c r="C2" s="8" t="str">
        <x:v>Signed agreement or timestamped digital consent</x:v>
      </x:c>
      <x:c r="D2" s="8" t="str">
        <x:v>No</x:v>
      </x:c>
      <x:c r="E2" s="8" t="str">
        <x:v>Yes</x:v>
      </x:c>
      <x:c r="F2" s="8" t="str">
        <x:v>Avneet</x:v>
      </x:c>
      <x:c r="G2" s="20" t="str">
        <x:v>Not started</x:v>
      </x:c>
      <x:c r="H2" s="8" t="str">
        <x:v>Never copy a public profile into production without consent.</x:v>
      </x:c>
    </x:row>
    <x:row r="3" ht="38" customHeight="1">
      <x:c r="A3" s="11" t="str">
        <x:v>Identity</x:v>
      </x:c>
      <x:c r="B3" s="11" t="str">
        <x:v>Legal identity matches applicant</x:v>
      </x:c>
      <x:c r="C3" s="11" t="str">
        <x:v>Government ID plus approved identity check</x:v>
      </x:c>
      <x:c r="D3" s="11" t="str">
        <x:v>No</x:v>
      </x:c>
      <x:c r="E3" s="11" t="str">
        <x:v>Yes</x:v>
      </x:c>
      <x:c r="F3" s="11" t="str">
        <x:v>Operations</x:v>
      </x:c>
      <x:c r="G3" s="21" t="str">
        <x:v>Not started</x:v>
      </x:c>
      <x:c r="H3" s="11" t="str">
        <x:v>Store sensitive documents securely; never expose them publicly.</x:v>
      </x:c>
    </x:row>
    <x:row r="4" ht="38" customHeight="1">
      <x:c r="A4" s="11" t="str">
        <x:v>Contact</x:v>
      </x:c>
      <x:c r="B4" s="11" t="str">
        <x:v>Phone and email verified</x:v>
      </x:c>
      <x:c r="C4" s="11" t="str">
        <x:v>Completed verification challenge</x:v>
      </x:c>
      <x:c r="D4" s="11" t="str">
        <x:v>No</x:v>
      </x:c>
      <x:c r="E4" s="11" t="str">
        <x:v>Yes</x:v>
      </x:c>
      <x:c r="F4" s="11" t="str">
        <x:v>Operations</x:v>
      </x:c>
      <x:c r="G4" s="21" t="str">
        <x:v>Not started</x:v>
      </x:c>
      <x:c r="H4" s="11" t="str"/>
    </x:row>
    <x:row r="5" ht="38" customHeight="1">
      <x:c r="A5" s="11" t="str">
        <x:v>Venue authority</x:v>
      </x:c>
      <x:c r="B5" s="11" t="str">
        <x:v>Can legitimately quote or fulfill stated access</x:v>
      </x:c>
      <x:c r="C5" s="11" t="str">
        <x:v>Venue email, contract, roster or manager confirmation</x:v>
      </x:c>
      <x:c r="D5" s="11" t="str">
        <x:v>No</x:v>
      </x:c>
      <x:c r="E5" s="11" t="str">
        <x:v>Yes</x:v>
      </x:c>
      <x:c r="F5" s="11" t="str">
        <x:v>Partnerships</x:v>
      </x:c>
      <x:c r="G5" s="21" t="str">
        <x:v>Not started</x:v>
      </x:c>
      <x:c r="H5" s="11" t="str">
        <x:v>Public social claims are insufficient.</x:v>
      </x:c>
    </x:row>
    <x:row r="6" ht="38" customHeight="1">
      <x:c r="A6" s="11" t="str">
        <x:v>Inventory</x:v>
      </x:c>
      <x:c r="B6" s="11" t="str">
        <x:v>Real availability and terms</x:v>
      </x:c>
      <x:c r="C6" s="11" t="str">
        <x:v>Approved event/table offer with timestamp</x:v>
      </x:c>
      <x:c r="D6" s="11" t="str">
        <x:v>No</x:v>
      </x:c>
      <x:c r="E6" s="11" t="str">
        <x:v>Yes</x:v>
      </x:c>
      <x:c r="F6" s="11" t="str">
        <x:v>Partnerships</x:v>
      </x:c>
      <x:c r="G6" s="21" t="str">
        <x:v>Not started</x:v>
      </x:c>
      <x:c r="H6" s="11" t="str">
        <x:v>Must include minimum spend, fees and expiry.</x:v>
      </x:c>
    </x:row>
    <x:row r="7" ht="38" customHeight="1">
      <x:c r="A7" s="11" t="str">
        <x:v>Profile</x:v>
      </x:c>
      <x:c r="B7" s="11" t="str">
        <x:v>Accurate bio, areas, specialties and response time</x:v>
      </x:c>
      <x:c r="C7" s="11" t="str">
        <x:v>Applicant-approved profile copy</x:v>
      </x:c>
      <x:c r="D7" s="11" t="str">
        <x:v>Yes</x:v>
      </x:c>
      <x:c r="E7" s="11" t="str">
        <x:v>Yes</x:v>
      </x:c>
      <x:c r="F7" s="11" t="str">
        <x:v>Operations</x:v>
      </x:c>
      <x:c r="G7" s="21" t="str">
        <x:v>Not started</x:v>
      </x:c>
      <x:c r="H7" s="11" t="str">
        <x:v>Only approved media with usage rights.</x:v>
      </x:c>
    </x:row>
    <x:row r="8" ht="38" customHeight="1">
      <x:c r="A8" s="11" t="str">
        <x:v>Payout</x:v>
      </x:c>
      <x:c r="B8" s="11" t="str">
        <x:v>Recipient and tax/payment details verified</x:v>
      </x:c>
      <x:c r="C8" s="11" t="str">
        <x:v>Approved payout record</x:v>
      </x:c>
      <x:c r="D8" s="11" t="str">
        <x:v>No</x:v>
      </x:c>
      <x:c r="E8" s="11" t="str">
        <x:v>Yes</x:v>
      </x:c>
      <x:c r="F8" s="11" t="str">
        <x:v>Finance</x:v>
      </x:c>
      <x:c r="G8" s="21" t="str">
        <x:v>Not started</x:v>
      </x:c>
      <x:c r="H8" s="11" t="str">
        <x:v>Payout identity must match agreement.</x:v>
      </x:c>
    </x:row>
    <x:row r="9" ht="38" customHeight="1">
      <x:c r="A9" s="11" t="str">
        <x:v>Policies</x:v>
      </x:c>
      <x:c r="B9" s="11" t="str">
        <x:v>Accepts cancellations, refunds and conduct rules</x:v>
      </x:c>
      <x:c r="C9" s="11" t="str">
        <x:v>Policy acknowledgement</x:v>
      </x:c>
      <x:c r="D9" s="11" t="str">
        <x:v>No</x:v>
      </x:c>
      <x:c r="E9" s="11" t="str">
        <x:v>Yes</x:v>
      </x:c>
      <x:c r="F9" s="11" t="str">
        <x:v>Operations</x:v>
      </x:c>
      <x:c r="G9" s="21" t="str">
        <x:v>Not started</x:v>
      </x:c>
      <x:c r="H9" s="11" t="str"/>
    </x:row>
    <x:row r="10" ht="38" customHeight="1">
      <x:c r="A10" s="11" t="str">
        <x:v>Training</x:v>
      </x:c>
      <x:c r="B10" s="11" t="str">
        <x:v>Can operate request, quote, chat and escalation flow</x:v>
      </x:c>
      <x:c r="C10" s="11" t="str">
        <x:v>Completed test booking</x:v>
      </x:c>
      <x:c r="D10" s="11" t="str">
        <x:v>No</x:v>
      </x:c>
      <x:c r="E10" s="11" t="str">
        <x:v>Yes</x:v>
      </x:c>
      <x:c r="F10" s="11" t="str">
        <x:v>Operations</x:v>
      </x:c>
      <x:c r="G10" s="21" t="str">
        <x:v>Not started</x:v>
      </x:c>
      <x:c r="H10" s="11" t="str"/>
    </x:row>
    <x:row r="11" ht="38" customHeight="1">
      <x:c r="A11" s="14" t="str">
        <x:v>Quality</x:v>
      </x:c>
      <x:c r="B11" s="14" t="str">
        <x:v>Response and fulfillment test passed</x:v>
      </x:c>
      <x:c r="C11" s="14" t="str">
        <x:v>Operator-reviewed trial request</x:v>
      </x:c>
      <x:c r="D11" s="14" t="str">
        <x:v>No</x:v>
      </x:c>
      <x:c r="E11" s="14" t="str">
        <x:v>Yes</x:v>
      </x:c>
      <x:c r="F11" s="14" t="str">
        <x:v>Operations</x:v>
      </x:c>
      <x:c r="G11" s="22" t="str">
        <x:v>Not started</x:v>
      </x:c>
      <x:c r="H11" s="14" t="str">
        <x:v>Publish expected response window only after testing.</x:v>
      </x:c>
    </x:row>
  </x:sheetData>
  <x:dataValidations count="1">
    <x:dataValidation type="list" sqref="G2:G100">
      <x:formula1>"Not started,In progress,Passed,Failed"</x:formula1>
    </x:dataValidation>
  </x:dataValidations>
  <x:pageMargins left="0.7" right="0.7" top="0.75" bottom="0.75" header="0.3" footer="0.3"/>
  <x:tableParts count="1">
    <x:tablePart xmlns:r="http://schemas.openxmlformats.org/officeDocument/2006/relationships" r:id="R6821ad5f9182441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28" hidden="0" customWidth="1"/>
    <x:col min="3" max="3" width="16" hidden="0" customWidth="1"/>
    <x:col min="4" max="4" width="14" hidden="0" customWidth="1"/>
    <x:col min="5" max="5" width="13" hidden="0" customWidth="1"/>
    <x:col min="6" max="6" width="26" hidden="0" customWidth="1"/>
    <x:col min="7" max="7" width="54" hidden="0" customWidth="1"/>
  </x:cols>
  <x:sheetData>
    <x:row r="1" ht="34" customHeight="1">
      <x:c r="A1" s="60" t="str">
        <x:v>Entity</x:v>
      </x:c>
      <x:c r="B1" s="60" t="str">
        <x:v>Field</x:v>
      </x:c>
      <x:c r="C1" s="60" t="str">
        <x:v>Type</x:v>
      </x:c>
      <x:c r="D1" s="60" t="str">
        <x:v>Required</x:v>
      </x:c>
      <x:c r="E1" s="60" t="str">
        <x:v>Public?</x:v>
      </x:c>
      <x:c r="F1" s="60" t="str">
        <x:v>Source</x:v>
      </x:c>
      <x:c r="G1" s="60" t="str">
        <x:v>Rule / Meaning</x:v>
      </x:c>
    </x:row>
    <x:row r="2" ht="32" customHeight="1">
      <x:c r="A2" s="8" t="str">
        <x:v>events</x:v>
      </x:c>
      <x:c r="B2" s="8" t="str">
        <x:v>event_id</x:v>
      </x:c>
      <x:c r="C2" s="8" t="str">
        <x:v>text</x:v>
      </x:c>
      <x:c r="D2" s="8" t="str">
        <x:v>Yes</x:v>
      </x:c>
      <x:c r="E2" s="8" t="str">
        <x:v>No</x:v>
      </x:c>
      <x:c r="F2" s="8" t="str">
        <x:v>Wingman</x:v>
      </x:c>
      <x:c r="G2" s="8" t="str">
        <x:v>Stable internal identifier</x:v>
      </x:c>
    </x:row>
    <x:row r="3" ht="32" customHeight="1">
      <x:c r="A3" s="11" t="str">
        <x:v>events</x:v>
      </x:c>
      <x:c r="B3" s="11" t="str">
        <x:v>name</x:v>
      </x:c>
      <x:c r="C3" s="11" t="str">
        <x:v>text</x:v>
      </x:c>
      <x:c r="D3" s="11" t="str">
        <x:v>Yes</x:v>
      </x:c>
      <x:c r="E3" s="11" t="str">
        <x:v>Yes</x:v>
      </x:c>
      <x:c r="F3" s="11" t="str">
        <x:v>Official event source</x:v>
      </x:c>
      <x:c r="G3" s="11" t="str">
        <x:v>Exact published event name</x:v>
      </x:c>
    </x:row>
    <x:row r="4" ht="32" customHeight="1">
      <x:c r="A4" s="11" t="str">
        <x:v>events</x:v>
      </x:c>
      <x:c r="B4" s="11" t="str">
        <x:v>venue_id</x:v>
      </x:c>
      <x:c r="C4" s="11" t="str">
        <x:v>relation</x:v>
      </x:c>
      <x:c r="D4" s="11" t="str">
        <x:v>Yes</x:v>
      </x:c>
      <x:c r="E4" s="11" t="str">
        <x:v>Yes</x:v>
      </x:c>
      <x:c r="F4" s="11" t="str">
        <x:v>Wingman venues</x:v>
      </x:c>
      <x:c r="G4" s="11" t="str">
        <x:v>Must resolve to a verified venue record</x:v>
      </x:c>
    </x:row>
    <x:row r="5" ht="32" customHeight="1">
      <x:c r="A5" s="11" t="str">
        <x:v>events</x:v>
      </x:c>
      <x:c r="B5" s="11" t="str">
        <x:v>starts_at</x:v>
      </x:c>
      <x:c r="C5" s="11" t="str">
        <x:v>datetime</x:v>
      </x:c>
      <x:c r="D5" s="11" t="str">
        <x:v>Yes</x:v>
      </x:c>
      <x:c r="E5" s="11" t="str">
        <x:v>Yes</x:v>
      </x:c>
      <x:c r="F5" s="11" t="str">
        <x:v>Official source</x:v>
      </x:c>
      <x:c r="G5" s="11" t="str">
        <x:v>Store UTC plus venue timezone</x:v>
      </x:c>
    </x:row>
    <x:row r="6" ht="32" customHeight="1">
      <x:c r="A6" s="11" t="str">
        <x:v>events</x:v>
      </x:c>
      <x:c r="B6" s="11" t="str">
        <x:v>age_requirement</x:v>
      </x:c>
      <x:c r="C6" s="11" t="str">
        <x:v>text</x:v>
      </x:c>
      <x:c r="D6" s="11" t="str">
        <x:v>Yes</x:v>
      </x:c>
      <x:c r="E6" s="11" t="str">
        <x:v>Yes</x:v>
      </x:c>
      <x:c r="F6" s="11" t="str">
        <x:v>Official source</x:v>
      </x:c>
      <x:c r="G6" s="11" t="str">
        <x:v>Show ‘check source’ when not confirmed</x:v>
      </x:c>
    </x:row>
    <x:row r="7" ht="32" customHeight="1">
      <x:c r="A7" s="11" t="str">
        <x:v>events</x:v>
      </x:c>
      <x:c r="B7" s="11" t="str">
        <x:v>official_source_url</x:v>
      </x:c>
      <x:c r="C7" s="11" t="str">
        <x:v>url</x:v>
      </x:c>
      <x:c r="D7" s="11" t="str">
        <x:v>Yes</x:v>
      </x:c>
      <x:c r="E7" s="11" t="str">
        <x:v>Yes</x:v>
      </x:c>
      <x:c r="F7" s="11" t="str">
        <x:v>Official source</x:v>
      </x:c>
      <x:c r="G7" s="11" t="str">
        <x:v>Supports audit and customer verification</x:v>
      </x:c>
    </x:row>
    <x:row r="8" ht="32" customHeight="1">
      <x:c r="A8" s="11" t="str">
        <x:v>events</x:v>
      </x:c>
      <x:c r="B8" s="11" t="str">
        <x:v>source_verified_at</x:v>
      </x:c>
      <x:c r="C8" s="11" t="str">
        <x:v>datetime</x:v>
      </x:c>
      <x:c r="D8" s="11" t="str">
        <x:v>Yes</x:v>
      </x:c>
      <x:c r="E8" s="11" t="str">
        <x:v>No</x:v>
      </x:c>
      <x:c r="F8" s="11" t="str">
        <x:v>Wingman operator</x:v>
      </x:c>
      <x:c r="G8" s="11" t="str">
        <x:v>Refresh before expiry or major date change</x:v>
      </x:c>
    </x:row>
    <x:row r="9" ht="32" customHeight="1">
      <x:c r="A9" s="11" t="str">
        <x:v>events</x:v>
      </x:c>
      <x:c r="B9" s="11" t="str">
        <x:v>discovery_status</x:v>
      </x:c>
      <x:c r="C9" s="11" t="str">
        <x:v>enum</x:v>
      </x:c>
      <x:c r="D9" s="11" t="str">
        <x:v>Yes</x:v>
      </x:c>
      <x:c r="E9" s="11" t="str">
        <x:v>Yes</x:v>
      </x:c>
      <x:c r="F9" s="11" t="str">
        <x:v>Wingman operator</x:v>
      </x:c>
      <x:c r="G9" s="11" t="str">
        <x:v>draft | discovery_ready | cancelled | expired</x:v>
      </x:c>
    </x:row>
    <x:row r="10" ht="32" customHeight="1">
      <x:c r="A10" s="11" t="str">
        <x:v>wingmen</x:v>
      </x:c>
      <x:c r="B10" s="11" t="str">
        <x:v>wingman_id</x:v>
      </x:c>
      <x:c r="C10" s="11" t="str">
        <x:v>text</x:v>
      </x:c>
      <x:c r="D10" s="11" t="str">
        <x:v>Yes</x:v>
      </x:c>
      <x:c r="E10" s="11" t="str">
        <x:v>No</x:v>
      </x:c>
      <x:c r="F10" s="11" t="str">
        <x:v>Wingman</x:v>
      </x:c>
      <x:c r="G10" s="11" t="str">
        <x:v>Stable internal identifier</x:v>
      </x:c>
    </x:row>
    <x:row r="11" ht="32" customHeight="1">
      <x:c r="A11" s="11" t="str">
        <x:v>wingmen</x:v>
      </x:c>
      <x:c r="B11" s="11" t="str">
        <x:v>display_name</x:v>
      </x:c>
      <x:c r="C11" s="11" t="str">
        <x:v>text</x:v>
      </x:c>
      <x:c r="D11" s="11" t="str">
        <x:v>Yes</x:v>
      </x:c>
      <x:c r="E11" s="11" t="str">
        <x:v>Yes</x:v>
      </x:c>
      <x:c r="F11" s="11" t="str">
        <x:v>Applicant approved</x:v>
      </x:c>
      <x:c r="G11" s="11" t="str">
        <x:v>Never inferred from public pages</x:v>
      </x:c>
    </x:row>
    <x:row r="12" ht="32" customHeight="1">
      <x:c r="A12" s="11" t="str">
        <x:v>wingmen</x:v>
      </x:c>
      <x:c r="B12" s="11" t="str">
        <x:v>verification_status</x:v>
      </x:c>
      <x:c r="C12" s="11" t="str">
        <x:v>enum</x:v>
      </x:c>
      <x:c r="D12" s="11" t="str">
        <x:v>Yes</x:v>
      </x:c>
      <x:c r="E12" s="11" t="str">
        <x:v>Yes</x:v>
      </x:c>
      <x:c r="F12" s="11" t="str">
        <x:v>Wingman operations</x:v>
      </x:c>
      <x:c r="G12" s="11" t="str">
        <x:v>pending | verified | paused | rejected</x:v>
      </x:c>
    </x:row>
    <x:row r="13" ht="32" customHeight="1">
      <x:c r="A13" s="11" t="str">
        <x:v>wingmen</x:v>
      </x:c>
      <x:c r="B13" s="11" t="str">
        <x:v>areas</x:v>
      </x:c>
      <x:c r="C13" s="11" t="str">
        <x:v>array</x:v>
      </x:c>
      <x:c r="D13" s="11" t="str">
        <x:v>Yes</x:v>
      </x:c>
      <x:c r="E13" s="11" t="str">
        <x:v>Yes</x:v>
      </x:c>
      <x:c r="F13" s="11" t="str">
        <x:v>Applicant approved</x:v>
      </x:c>
      <x:c r="G13" s="11" t="str">
        <x:v>Miami areas served</x:v>
      </x:c>
    </x:row>
    <x:row r="14" ht="32" customHeight="1">
      <x:c r="A14" s="11" t="str">
        <x:v>wingmen</x:v>
      </x:c>
      <x:c r="B14" s="11" t="str">
        <x:v>specialties</x:v>
      </x:c>
      <x:c r="C14" s="11" t="str">
        <x:v>array</x:v>
      </x:c>
      <x:c r="D14" s="11" t="str">
        <x:v>Yes</x:v>
      </x:c>
      <x:c r="E14" s="11" t="str">
        <x:v>Yes</x:v>
      </x:c>
      <x:c r="F14" s="11" t="str">
        <x:v>Applicant approved</x:v>
      </x:c>
      <x:c r="G14" s="11" t="str">
        <x:v>Venue/vibe/occasion specialties</x:v>
      </x:c>
    </x:row>
    <x:row r="15" ht="32" customHeight="1">
      <x:c r="A15" s="11" t="str">
        <x:v>wingmen</x:v>
      </x:c>
      <x:c r="B15" s="11" t="str">
        <x:v>response_window_minutes</x:v>
      </x:c>
      <x:c r="C15" s="11" t="str">
        <x:v>number</x:v>
      </x:c>
      <x:c r="D15" s="11" t="str">
        <x:v>Yes</x:v>
      </x:c>
      <x:c r="E15" s="11" t="str">
        <x:v>Yes</x:v>
      </x:c>
      <x:c r="F15" s="11" t="str">
        <x:v>Measured and approved</x:v>
      </x:c>
      <x:c r="G15" s="11" t="str">
        <x:v>Do not publish an untested SLA</x:v>
      </x:c>
    </x:row>
    <x:row r="16" ht="32" customHeight="1">
      <x:c r="A16" s="11" t="str">
        <x:v>wingmen</x:v>
      </x:c>
      <x:c r="B16" s="11" t="str">
        <x:v>media</x:v>
      </x:c>
      <x:c r="C16" s="11" t="str">
        <x:v>array</x:v>
      </x:c>
      <x:c r="D16" s="11" t="str">
        <x:v>Yes</x:v>
      </x:c>
      <x:c r="E16" s="11" t="str">
        <x:v>Yes</x:v>
      </x:c>
      <x:c r="F16" s="11" t="str">
        <x:v>Rights-cleared upload</x:v>
      </x:c>
      <x:c r="G16" s="11" t="str">
        <x:v>Applicant owns or licenses each image</x:v>
      </x:c>
    </x:row>
    <x:row r="17" ht="32" customHeight="1">
      <x:c r="A17" s="11" t="str">
        <x:v>offers</x:v>
      </x:c>
      <x:c r="B17" s="11" t="str">
        <x:v>offer_id</x:v>
      </x:c>
      <x:c r="C17" s="11" t="str">
        <x:v>text</x:v>
      </x:c>
      <x:c r="D17" s="11" t="str">
        <x:v>Yes</x:v>
      </x:c>
      <x:c r="E17" s="11" t="str">
        <x:v>No</x:v>
      </x:c>
      <x:c r="F17" s="11" t="str">
        <x:v>Wingman</x:v>
      </x:c>
      <x:c r="G17" s="11" t="str">
        <x:v>Stable internal identifier</x:v>
      </x:c>
    </x:row>
    <x:row r="18" ht="32" customHeight="1">
      <x:c r="A18" s="11" t="str">
        <x:v>offers</x:v>
      </x:c>
      <x:c r="B18" s="11" t="str">
        <x:v>event_id</x:v>
      </x:c>
      <x:c r="C18" s="11" t="str">
        <x:v>relation</x:v>
      </x:c>
      <x:c r="D18" s="11" t="str">
        <x:v>Yes</x:v>
      </x:c>
      <x:c r="E18" s="11" t="str">
        <x:v>No</x:v>
      </x:c>
      <x:c r="F18" s="11" t="str">
        <x:v>Event Inventory</x:v>
      </x:c>
      <x:c r="G18" s="11" t="str">
        <x:v>Links offer to real event</x:v>
      </x:c>
    </x:row>
    <x:row r="19" ht="32" customHeight="1">
      <x:c r="A19" s="11" t="str">
        <x:v>offers</x:v>
      </x:c>
      <x:c r="B19" s="11" t="str">
        <x:v>wingman_id</x:v>
      </x:c>
      <x:c r="C19" s="11" t="str">
        <x:v>relation</x:v>
      </x:c>
      <x:c r="D19" s="11" t="str">
        <x:v>Yes</x:v>
      </x:c>
      <x:c r="E19" s="11" t="str">
        <x:v>Yes</x:v>
      </x:c>
      <x:c r="F19" s="11" t="str">
        <x:v>Verified Wingman</x:v>
      </x:c>
      <x:c r="G19" s="11" t="str">
        <x:v>Only verified Wingmen may own offers</x:v>
      </x:c>
    </x:row>
    <x:row r="20" ht="32" customHeight="1">
      <x:c r="A20" s="11" t="str">
        <x:v>offers</x:v>
      </x:c>
      <x:c r="B20" s="11" t="str">
        <x:v>service_type</x:v>
      </x:c>
      <x:c r="C20" s="11" t="str">
        <x:v>enum</x:v>
      </x:c>
      <x:c r="D20" s="11" t="str">
        <x:v>Yes</x:v>
      </x:c>
      <x:c r="E20" s="11" t="str">
        <x:v>Yes</x:v>
      </x:c>
      <x:c r="F20" s="11" t="str">
        <x:v>Approved inventory</x:v>
      </x:c>
      <x:c r="G20" s="11" t="str">
        <x:v>guest_list | ticket | vip_table | concierge</x:v>
      </x:c>
    </x:row>
    <x:row r="21" ht="32" customHeight="1">
      <x:c r="A21" s="11" t="str">
        <x:v>offers</x:v>
      </x:c>
      <x:c r="B21" s="11" t="str">
        <x:v>minimum_spend</x:v>
      </x:c>
      <x:c r="C21" s="11" t="str">
        <x:v>currency</x:v>
      </x:c>
      <x:c r="D21" s="11" t="str">
        <x:v>Conditional</x:v>
      </x:c>
      <x:c r="E21" s="11" t="str">
        <x:v>Yes</x:v>
      </x:c>
      <x:c r="F21" s="11" t="str">
        <x:v>Approved inventory</x:v>
      </x:c>
      <x:c r="G21" s="11" t="str">
        <x:v>Required for minimum-spend offers</x:v>
      </x:c>
    </x:row>
    <x:row r="22" ht="32" customHeight="1">
      <x:c r="A22" s="11" t="str">
        <x:v>offers</x:v>
      </x:c>
      <x:c r="B22" s="11" t="str">
        <x:v>service_fee</x:v>
      </x:c>
      <x:c r="C22" s="11" t="str">
        <x:v>currency</x:v>
      </x:c>
      <x:c r="D22" s="11" t="str">
        <x:v>Yes</x:v>
      </x:c>
      <x:c r="E22" s="11" t="str">
        <x:v>Yes</x:v>
      </x:c>
      <x:c r="F22" s="11" t="str">
        <x:v>Wingman pricing</x:v>
      </x:c>
      <x:c r="G22" s="11" t="str">
        <x:v>Disclose before acceptance</x:v>
      </x:c>
    </x:row>
    <x:row r="23" ht="32" customHeight="1">
      <x:c r="A23" s="11" t="str">
        <x:v>offers</x:v>
      </x:c>
      <x:c r="B23" s="11" t="str">
        <x:v>terms</x:v>
      </x:c>
      <x:c r="C23" s="11" t="str">
        <x:v>text</x:v>
      </x:c>
      <x:c r="D23" s="11" t="str">
        <x:v>Yes</x:v>
      </x:c>
      <x:c r="E23" s="11" t="str">
        <x:v>Yes</x:v>
      </x:c>
      <x:c r="F23" s="11" t="str">
        <x:v>Partner approved</x:v>
      </x:c>
      <x:c r="G23" s="11" t="str">
        <x:v>Arrival, party size, cancellation and venue rules</x:v>
      </x:c>
    </x:row>
    <x:row r="24" ht="32" customHeight="1">
      <x:c r="A24" s="11" t="str">
        <x:v>offers</x:v>
      </x:c>
      <x:c r="B24" s="11" t="str">
        <x:v>expires_at</x:v>
      </x:c>
      <x:c r="C24" s="11" t="str">
        <x:v>datetime</x:v>
      </x:c>
      <x:c r="D24" s="11" t="str">
        <x:v>Yes</x:v>
      </x:c>
      <x:c r="E24" s="11" t="str">
        <x:v>No</x:v>
      </x:c>
      <x:c r="F24" s="11" t="str">
        <x:v>Partner approved</x:v>
      </x:c>
      <x:c r="G24" s="11" t="str">
        <x:v>Prevents stale inventory</x:v>
      </x:c>
    </x:row>
    <x:row r="25" ht="32" customHeight="1">
      <x:c r="A25" s="14" t="str">
        <x:v>offers</x:v>
      </x:c>
      <x:c r="B25" s="14" t="str">
        <x:v>bookable</x:v>
      </x:c>
      <x:c r="C25" s="14" t="str">
        <x:v>boolean</x:v>
      </x:c>
      <x:c r="D25" s="14" t="str">
        <x:v>Yes</x:v>
      </x:c>
      <x:c r="E25" s="14" t="str">
        <x:v>Yes</x:v>
      </x:c>
      <x:c r="F25" s="14" t="str">
        <x:v>System</x:v>
      </x:c>
      <x:c r="G25" s="14" t="str">
        <x:v>True only when every supply gate passes</x:v>
      </x:c>
    </x:row>
  </x:sheetData>
  <x:pageMargins left="0.7" right="0.7" top="0.75" bottom="0.75" header="0.3" footer="0.3"/>
  <x:tableParts count="1">
    <x:tablePart xmlns:r="http://schemas.openxmlformats.org/officeDocument/2006/relationships" r:id="R430ca905916c4007"/>
  </x:tableParts>
</x:worksheet>
</file>